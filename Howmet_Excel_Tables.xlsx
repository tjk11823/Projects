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vis Kimball\Documents\Assignments\"/>
    </mc:Choice>
  </mc:AlternateContent>
  <xr:revisionPtr revIDLastSave="0" documentId="8_{01028153-1D1E-41F8-B799-42301A0BC9BD}" xr6:coauthVersionLast="47" xr6:coauthVersionMax="47" xr10:uidLastSave="{00000000-0000-0000-0000-000000000000}"/>
  <bookViews>
    <workbookView xWindow="-110" yWindow="-110" windowWidth="19420" windowHeight="11500" xr2:uid="{261AFF6A-90C7-4D00-ABAE-7ADE0F6EE0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90" i="1" l="1"/>
  <c r="X90" i="1"/>
  <c r="Y90" i="1"/>
  <c r="V90" i="1"/>
  <c r="W64" i="1"/>
  <c r="X65" i="1"/>
  <c r="Y65" i="1"/>
  <c r="U26" i="1"/>
  <c r="T26" i="1"/>
  <c r="Q77" i="1"/>
  <c r="R77" i="1"/>
  <c r="S77" i="1"/>
  <c r="T77" i="1"/>
  <c r="U77" i="1"/>
  <c r="Q76" i="1"/>
  <c r="R76" i="1"/>
  <c r="S76" i="1"/>
  <c r="T76" i="1"/>
  <c r="U76" i="1"/>
  <c r="AB95" i="1"/>
  <c r="M45" i="1"/>
  <c r="Q75" i="1"/>
  <c r="R75" i="1"/>
  <c r="S75" i="1"/>
  <c r="T75" i="1"/>
  <c r="V71" i="1"/>
  <c r="W71" i="1"/>
  <c r="X71" i="1"/>
  <c r="Y71" i="1"/>
  <c r="U71" i="1"/>
  <c r="U81" i="1"/>
  <c r="U70" i="1" s="1"/>
  <c r="AB99" i="1"/>
  <c r="V55" i="1"/>
  <c r="W55" i="1" s="1"/>
  <c r="X55" i="1" s="1"/>
  <c r="X26" i="1" s="1"/>
  <c r="V66" i="1"/>
  <c r="W66" i="1" s="1"/>
  <c r="AB103" i="1"/>
  <c r="AB102" i="1"/>
  <c r="U72" i="1"/>
  <c r="V51" i="1"/>
  <c r="W51" i="1" s="1"/>
  <c r="X51" i="1" s="1"/>
  <c r="Y51" i="1" s="1"/>
  <c r="U64" i="1"/>
  <c r="U50" i="1"/>
  <c r="V50" i="1" s="1"/>
  <c r="W50" i="1" s="1"/>
  <c r="X50" i="1" s="1"/>
  <c r="Y50" i="1" s="1"/>
  <c r="U54" i="1"/>
  <c r="U53" i="1"/>
  <c r="U52" i="1"/>
  <c r="Q55" i="1"/>
  <c r="R55" i="1"/>
  <c r="S55" i="1"/>
  <c r="T55" i="1"/>
  <c r="U67" i="1" s="1"/>
  <c r="Q64" i="1"/>
  <c r="R64" i="1"/>
  <c r="S64" i="1"/>
  <c r="T64" i="1"/>
  <c r="W26" i="1" l="1"/>
  <c r="V64" i="1"/>
  <c r="V65" i="1" s="1"/>
  <c r="V26" i="1"/>
  <c r="W56" i="1"/>
  <c r="W81" i="1"/>
  <c r="W70" i="1" s="1"/>
  <c r="V56" i="1"/>
  <c r="X66" i="1"/>
  <c r="Y66" i="1" s="1"/>
  <c r="W72" i="1"/>
  <c r="X81" i="1"/>
  <c r="X70" i="1" s="1"/>
  <c r="X67" i="1"/>
  <c r="X56" i="1"/>
  <c r="X72" i="1"/>
  <c r="Y55" i="1"/>
  <c r="V81" i="1"/>
  <c r="V70" i="1" s="1"/>
  <c r="U65" i="1"/>
  <c r="U56" i="1"/>
  <c r="V72" i="1"/>
  <c r="V67" i="1"/>
  <c r="W67" i="1"/>
  <c r="AB104" i="1"/>
  <c r="U79" i="1" s="1"/>
  <c r="U73" i="1"/>
  <c r="V43" i="1"/>
  <c r="T56" i="1"/>
  <c r="T65" i="1"/>
  <c r="Q65" i="1"/>
  <c r="S65" i="1"/>
  <c r="R65" i="1"/>
  <c r="S56" i="1"/>
  <c r="R56" i="1"/>
  <c r="Q56" i="1"/>
  <c r="Y72" i="1" l="1"/>
  <c r="Y26" i="1"/>
  <c r="X64" i="1"/>
  <c r="X91" i="1" s="1"/>
  <c r="X73" i="1"/>
  <c r="X74" i="1" s="1"/>
  <c r="X78" i="1" s="1"/>
  <c r="Y64" i="1"/>
  <c r="Z80" i="1" s="1"/>
  <c r="Y84" i="1" s="1"/>
  <c r="Y81" i="1"/>
  <c r="Y70" i="1" s="1"/>
  <c r="Y79" i="1"/>
  <c r="X79" i="1"/>
  <c r="W79" i="1"/>
  <c r="Y56" i="1"/>
  <c r="Y67" i="1"/>
  <c r="U74" i="1"/>
  <c r="U78" i="1" s="1"/>
  <c r="U80" i="1" s="1"/>
  <c r="U83" i="1"/>
  <c r="U75" i="1" s="1"/>
  <c r="W65" i="1"/>
  <c r="V79" i="1"/>
  <c r="V73" i="1"/>
  <c r="V91" i="1"/>
  <c r="W45" i="1"/>
  <c r="W43" i="1"/>
  <c r="X83" i="1" l="1"/>
  <c r="Y73" i="1"/>
  <c r="V83" i="1"/>
  <c r="V88" i="1" s="1"/>
  <c r="V76" i="1" s="1"/>
  <c r="Y74" i="1"/>
  <c r="Y78" i="1" s="1"/>
  <c r="Y80" i="1" s="1"/>
  <c r="X80" i="1"/>
  <c r="Y83" i="1"/>
  <c r="Y75" i="1" s="1"/>
  <c r="Y91" i="1"/>
  <c r="V74" i="1"/>
  <c r="W91" i="1"/>
  <c r="W73" i="1"/>
  <c r="X45" i="1"/>
  <c r="X43" i="1"/>
  <c r="X75" i="1" l="1"/>
  <c r="X88" i="1"/>
  <c r="X76" i="1" s="1"/>
  <c r="X89" i="1"/>
  <c r="X77" i="1" s="1"/>
  <c r="Y88" i="1"/>
  <c r="Y76" i="1" s="1"/>
  <c r="V75" i="1"/>
  <c r="Y89" i="1"/>
  <c r="Y77" i="1" s="1"/>
  <c r="V78" i="1"/>
  <c r="V80" i="1" s="1"/>
  <c r="W74" i="1"/>
  <c r="W83" i="1"/>
  <c r="W75" i="1" s="1"/>
  <c r="V89" i="1"/>
  <c r="V77" i="1" s="1"/>
  <c r="Y45" i="1"/>
  <c r="Y43" i="1"/>
  <c r="W78" i="1" l="1"/>
  <c r="W80" i="1" s="1"/>
  <c r="AA80" i="1" s="1"/>
  <c r="W88" i="1"/>
  <c r="W76" i="1" s="1"/>
  <c r="W89" i="1"/>
  <c r="W77" i="1" s="1"/>
  <c r="AB80" i="1" l="1"/>
  <c r="Y86" i="1" s="1"/>
  <c r="Y85" i="1"/>
  <c r="AC80" i="1" l="1"/>
  <c r="Y87" i="1" s="1"/>
</calcChain>
</file>

<file path=xl/sharedStrings.xml><?xml version="1.0" encoding="utf-8"?>
<sst xmlns="http://schemas.openxmlformats.org/spreadsheetml/2006/main" count="208" uniqueCount="141">
  <si>
    <t>KEY STATISTICS &amp; TRADING CHART</t>
  </si>
  <si>
    <t>Current Price (USD)</t>
  </si>
  <si>
    <t>Average Vol. (65-day avg.)</t>
  </si>
  <si>
    <t>3.11M</t>
  </si>
  <si>
    <t>52 Week Range (USD)</t>
  </si>
  <si>
    <t>$183.83 - $310.00</t>
  </si>
  <si>
    <t>31.33x / 31.63x</t>
  </si>
  <si>
    <t>398.80 / 402.80</t>
  </si>
  <si>
    <t>Net Debt/EBITDA</t>
  </si>
  <si>
    <t>1.33x</t>
  </si>
  <si>
    <t>Market Cap (Basic / Diluted, $M)</t>
  </si>
  <si>
    <t>$92,417.91 / $93,344.87</t>
  </si>
  <si>
    <t>Float %</t>
  </si>
  <si>
    <t>Net Debt (USD, $M)</t>
  </si>
  <si>
    <t>YTD Price Change</t>
  </si>
  <si>
    <t>Enterprise Value (Basic / Diluted, $M)</t>
  </si>
  <si>
    <t>$96,518.91 / $97,445.87</t>
  </si>
  <si>
    <t>12-mo Dividend Yield</t>
  </si>
  <si>
    <t>Shares Outstanding (Basic / Diluted, $M)</t>
  </si>
  <si>
    <t>EV/ Adjusted EBITDA (Basic / Diluted)</t>
  </si>
  <si>
    <t>Column1</t>
  </si>
  <si>
    <t>Column2</t>
  </si>
  <si>
    <t>Column3</t>
  </si>
  <si>
    <t>FY2024A</t>
  </si>
  <si>
    <t>FY2025A</t>
  </si>
  <si>
    <t>FY2026E</t>
  </si>
  <si>
    <t>FY2027E</t>
  </si>
  <si>
    <t>FY2028E</t>
  </si>
  <si>
    <t>Revenue</t>
  </si>
  <si>
    <t>Revenue Growth</t>
  </si>
  <si>
    <t>—</t>
  </si>
  <si>
    <t>EBITDA</t>
  </si>
  <si>
    <t>EBITDA Growth</t>
  </si>
  <si>
    <t>EBITDA Margin</t>
  </si>
  <si>
    <t>EBIT</t>
  </si>
  <si>
    <t>EBIT Growth</t>
  </si>
  <si>
    <t>EBT</t>
  </si>
  <si>
    <t>Net Income</t>
  </si>
  <si>
    <t>Net Debt</t>
  </si>
  <si>
    <t>Capex</t>
  </si>
  <si>
    <t>Free Cash Flow</t>
  </si>
  <si>
    <t>CONSENSUS ESTIMATES</t>
  </si>
  <si>
    <t xml:space="preserve">Interest </t>
  </si>
  <si>
    <t>Average Price Target</t>
  </si>
  <si>
    <t>High Price Target</t>
  </si>
  <si>
    <t>Low Price Target</t>
  </si>
  <si>
    <t>Implied Upside</t>
  </si>
  <si>
    <r>
      <t>BASIC SHARES</t>
    </r>
    <r>
      <rPr>
        <sz val="11"/>
        <color theme="1"/>
        <rFont val="Arial"/>
        <family val="2"/>
      </rPr>
      <t xml:space="preserve"> (in millions)</t>
    </r>
  </si>
  <si>
    <t>+ STOCK OPTIONS</t>
  </si>
  <si>
    <t>+ RSU &amp; PSU'S</t>
  </si>
  <si>
    <t>DILUTED SHARES</t>
  </si>
  <si>
    <t>MARKET CAP ($M)</t>
  </si>
  <si>
    <t>- CASH</t>
  </si>
  <si>
    <t>+ DEBT &amp; LEASES</t>
  </si>
  <si>
    <t>+ PREFERREDS</t>
  </si>
  <si>
    <t>+ MINORITY INTEREST</t>
  </si>
  <si>
    <t>+ PENSION LIABILITY</t>
  </si>
  <si>
    <t>ENTERPRISE VALUE</t>
  </si>
  <si>
    <t>FY2022A</t>
  </si>
  <si>
    <t>FY2023A</t>
  </si>
  <si>
    <t>REVENUE</t>
  </si>
  <si>
    <t>Engine Products</t>
  </si>
  <si>
    <t>Fastening Systems</t>
  </si>
  <si>
    <t>Engineered Structures</t>
  </si>
  <si>
    <t>Forged Wheels</t>
  </si>
  <si>
    <t>Total Revenue</t>
  </si>
  <si>
    <t>% Growth</t>
  </si>
  <si>
    <t>ADJUSTED EBITDA</t>
  </si>
  <si>
    <t>Total Adjusted EBITDA</t>
  </si>
  <si>
    <t>% Margin</t>
  </si>
  <si>
    <t>Interest Expense</t>
  </si>
  <si>
    <t>EPS (Adjusted)</t>
  </si>
  <si>
    <t>Interest Coverage Ratio</t>
  </si>
  <si>
    <t>2.9x</t>
  </si>
  <si>
    <t>4.0x</t>
  </si>
  <si>
    <t>5.5x</t>
  </si>
  <si>
    <t>9.0x</t>
  </si>
  <si>
    <t>13.5x</t>
  </si>
  <si>
    <t>Net Debt / EBITDA</t>
  </si>
  <si>
    <t>1.4x</t>
  </si>
  <si>
    <t>1.0x</t>
  </si>
  <si>
    <t>Aftermarket Replacement % of Engine Revenue</t>
  </si>
  <si>
    <t>2.1x</t>
  </si>
  <si>
    <t>2.6x</t>
  </si>
  <si>
    <t>3.2x</t>
  </si>
  <si>
    <t>15.6x</t>
  </si>
  <si>
    <t>2.5x</t>
  </si>
  <si>
    <t>Corporate Expense</t>
  </si>
  <si>
    <t>FY2029E</t>
  </si>
  <si>
    <t>FY2030E</t>
  </si>
  <si>
    <t>Tax Rate (%)</t>
  </si>
  <si>
    <t>D&amp;A (% of Revenue)</t>
  </si>
  <si>
    <t xml:space="preserve">CapEx </t>
  </si>
  <si>
    <t>D&amp;A</t>
  </si>
  <si>
    <t>Net Working Capital (% of Revenue Growth)</t>
  </si>
  <si>
    <t>Cost of Equity</t>
  </si>
  <si>
    <t>Rfr</t>
  </si>
  <si>
    <t>ERP</t>
  </si>
  <si>
    <t>Cost of Debt</t>
  </si>
  <si>
    <t>Market Value of Equity</t>
  </si>
  <si>
    <t>Market Value of Debt</t>
  </si>
  <si>
    <t>Percentage of Equity</t>
  </si>
  <si>
    <t>Percentage of Debt</t>
  </si>
  <si>
    <t>WACC</t>
  </si>
  <si>
    <t>Terminal Value</t>
  </si>
  <si>
    <t>Implied Share Price</t>
  </si>
  <si>
    <t>NOPAT</t>
  </si>
  <si>
    <t>Discount Factor</t>
  </si>
  <si>
    <t>PV Enterprise</t>
  </si>
  <si>
    <t>PV Equity</t>
  </si>
  <si>
    <t xml:space="preserve">Assumptions: </t>
  </si>
  <si>
    <t>CapEx</t>
  </si>
  <si>
    <t>Tax</t>
  </si>
  <si>
    <t>EV/EBITDA Multiple</t>
  </si>
  <si>
    <t xml:space="preserve">Change Net Working Capital </t>
  </si>
  <si>
    <t>12% of Revenue Growth</t>
  </si>
  <si>
    <t>30x multiple for terminal value</t>
  </si>
  <si>
    <t>2.9% of revenue</t>
  </si>
  <si>
    <t>18% corporate tax rate</t>
  </si>
  <si>
    <t>5% of revenue</t>
  </si>
  <si>
    <t>Current Net Debt</t>
  </si>
  <si>
    <t>4101 M</t>
  </si>
  <si>
    <t xml:space="preserve">Revenue Growth: </t>
  </si>
  <si>
    <t xml:space="preserve">Margins Growth: </t>
  </si>
  <si>
    <t>2026: 32.5%, 2027: 34.5%, 2028: 35.50%, 2029: 35.5%, 2030: 35.5%</t>
  </si>
  <si>
    <t>2026: 21.18%, 2027: 13%, 2028: 11%, 2029: 9%, 2030: 8%</t>
  </si>
  <si>
    <t xml:space="preserve">Net Income </t>
  </si>
  <si>
    <t xml:space="preserve">EPS </t>
  </si>
  <si>
    <t>Beta (historical)</t>
  </si>
  <si>
    <t>WACC Calculations</t>
  </si>
  <si>
    <t>FCF</t>
  </si>
  <si>
    <t>PV of FCF</t>
  </si>
  <si>
    <t>PV Terminal Value</t>
  </si>
  <si>
    <t>EPS</t>
  </si>
  <si>
    <t xml:space="preserve">Revenue </t>
  </si>
  <si>
    <t>BEAR CASE:  Teminal Value 28x EBITDA</t>
  </si>
  <si>
    <t>BULL CASE: Terminal Value 33x EBITDA</t>
  </si>
  <si>
    <t>DCF Valuation Model</t>
  </si>
  <si>
    <t xml:space="preserve">DCF Valuation Model </t>
  </si>
  <si>
    <t>BASE CASE: Terminal Value 30x EBITDA</t>
  </si>
  <si>
    <t xml:space="preserve">Consensus: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</si>
</sst>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79" formatCode="0.00\x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4"/>
      <name val="Arial"/>
      <family val="2"/>
    </font>
    <font>
      <sz val="11"/>
      <color theme="4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4" fillId="0" borderId="1" xfId="0" applyFont="1" applyBorder="1" applyAlignment="1">
      <alignment horizontal="left" vertical="center" wrapText="1" indent="1"/>
    </xf>
    <xf numFmtId="0" fontId="3" fillId="0" borderId="0" xfId="0" applyFont="1"/>
    <xf numFmtId="0" fontId="3" fillId="0" borderId="1" xfId="0" applyFont="1" applyBorder="1" applyAlignment="1">
      <alignment horizontal="left" vertical="center" wrapText="1" indent="1"/>
    </xf>
    <xf numFmtId="8" fontId="0" fillId="0" borderId="0" xfId="0" applyNumberFormat="1"/>
    <xf numFmtId="8" fontId="3" fillId="0" borderId="1" xfId="0" applyNumberFormat="1" applyFont="1" applyBorder="1" applyAlignment="1">
      <alignment horizontal="left" vertical="center" wrapText="1" indent="1"/>
    </xf>
    <xf numFmtId="10" fontId="0" fillId="0" borderId="0" xfId="0" applyNumberFormat="1"/>
    <xf numFmtId="0" fontId="4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10" fontId="3" fillId="0" borderId="3" xfId="0" applyNumberFormat="1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 indent="1"/>
    </xf>
    <xf numFmtId="10" fontId="3" fillId="0" borderId="9" xfId="0" applyNumberFormat="1" applyFont="1" applyBorder="1" applyAlignment="1">
      <alignment horizontal="left" vertical="center" wrapText="1" inden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5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horizontal="left" vertical="center" wrapText="1" inden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3" fontId="3" fillId="0" borderId="0" xfId="0" applyNumberFormat="1" applyFont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0" fontId="3" fillId="0" borderId="0" xfId="0" applyNumberFormat="1" applyFont="1" applyAlignment="1">
      <alignment horizontal="right" vertical="center" wrapText="1"/>
    </xf>
    <xf numFmtId="10" fontId="4" fillId="0" borderId="0" xfId="0" applyNumberFormat="1" applyFont="1" applyAlignment="1">
      <alignment horizontal="right" vertical="center"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" fontId="4" fillId="0" borderId="0" xfId="0" applyNumberFormat="1" applyFont="1"/>
    <xf numFmtId="4" fontId="3" fillId="0" borderId="0" xfId="0" applyNumberFormat="1" applyFont="1"/>
    <xf numFmtId="0" fontId="3" fillId="0" borderId="0" xfId="0" applyNumberFormat="1" applyFont="1" applyAlignment="1">
      <alignment horizontal="right"/>
    </xf>
    <xf numFmtId="10" fontId="0" fillId="0" borderId="0" xfId="2" applyNumberFormat="1" applyFont="1" applyAlignment="1">
      <alignment horizontal="right" vertical="center" wrapText="1"/>
    </xf>
    <xf numFmtId="44" fontId="1" fillId="0" borderId="0" xfId="1" applyFont="1" applyAlignment="1">
      <alignment horizontal="center" vertical="center" wrapText="1"/>
    </xf>
    <xf numFmtId="44" fontId="0" fillId="0" borderId="0" xfId="1" applyFont="1" applyAlignment="1">
      <alignment horizontal="right" vertical="center" wrapText="1"/>
    </xf>
    <xf numFmtId="44" fontId="1" fillId="0" borderId="0" xfId="1" applyFont="1" applyAlignment="1">
      <alignment horizontal="right" vertical="center" wrapText="1"/>
    </xf>
    <xf numFmtId="0" fontId="0" fillId="0" borderId="0" xfId="0" applyFont="1" applyAlignment="1">
      <alignment horizontal="right" vertical="center" wrapText="1"/>
    </xf>
    <xf numFmtId="10" fontId="1" fillId="0" borderId="0" xfId="2" applyNumberFormat="1" applyFont="1" applyAlignment="1">
      <alignment horizontal="right" vertical="center" wrapText="1"/>
    </xf>
    <xf numFmtId="0" fontId="0" fillId="0" borderId="0" xfId="0" applyFont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44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44" fontId="0" fillId="0" borderId="0" xfId="0" applyNumberFormat="1" applyAlignment="1">
      <alignment vertical="center"/>
    </xf>
    <xf numFmtId="44" fontId="0" fillId="0" borderId="0" xfId="2" applyNumberFormat="1" applyFont="1" applyAlignment="1">
      <alignment horizontal="right" vertical="center" wrapText="1"/>
    </xf>
    <xf numFmtId="179" fontId="0" fillId="0" borderId="0" xfId="0" applyNumberFormat="1" applyAlignment="1">
      <alignment vertical="center"/>
    </xf>
    <xf numFmtId="10" fontId="0" fillId="0" borderId="0" xfId="2" applyNumberFormat="1" applyFont="1"/>
    <xf numFmtId="8" fontId="4" fillId="0" borderId="1" xfId="0" applyNumberFormat="1" applyFont="1" applyBorder="1" applyAlignment="1">
      <alignment horizontal="left" vertical="center" wrapText="1" indent="1"/>
    </xf>
    <xf numFmtId="0" fontId="4" fillId="0" borderId="14" xfId="0" applyFont="1" applyFill="1" applyBorder="1" applyAlignment="1">
      <alignment horizontal="left" vertical="center" wrapText="1" indent="1"/>
    </xf>
    <xf numFmtId="2" fontId="0" fillId="0" borderId="0" xfId="2" applyNumberFormat="1" applyFont="1" applyAlignment="1">
      <alignment horizontal="right" vertical="center" wrapText="1"/>
    </xf>
    <xf numFmtId="44" fontId="0" fillId="0" borderId="10" xfId="1" applyFont="1" applyBorder="1" applyAlignment="1">
      <alignment horizontal="right" vertical="center" wrapText="1"/>
    </xf>
    <xf numFmtId="44" fontId="0" fillId="0" borderId="13" xfId="1" applyFont="1" applyBorder="1" applyAlignment="1">
      <alignment horizontal="right" vertical="center" wrapText="1"/>
    </xf>
    <xf numFmtId="44" fontId="0" fillId="0" borderId="0" xfId="1" applyFont="1" applyBorder="1" applyAlignment="1">
      <alignment horizontal="right" vertical="center" wrapText="1"/>
    </xf>
    <xf numFmtId="0" fontId="2" fillId="0" borderId="0" xfId="0" applyFont="1" applyFill="1" applyBorder="1" applyAlignment="1">
      <alignment vertical="center" wrapText="1"/>
    </xf>
    <xf numFmtId="46" fontId="0" fillId="0" borderId="0" xfId="0" applyNumberFormat="1"/>
    <xf numFmtId="44" fontId="0" fillId="0" borderId="0" xfId="0" applyNumberFormat="1" applyAlignment="1">
      <alignment vertical="center" wrapText="1"/>
    </xf>
    <xf numFmtId="0" fontId="6" fillId="0" borderId="0" xfId="0" applyFont="1"/>
    <xf numFmtId="0" fontId="0" fillId="2" borderId="0" xfId="0" applyFill="1"/>
    <xf numFmtId="0" fontId="2" fillId="3" borderId="0" xfId="0" applyFont="1" applyFill="1"/>
    <xf numFmtId="10" fontId="0" fillId="3" borderId="0" xfId="2" applyNumberFormat="1" applyFont="1" applyFill="1"/>
    <xf numFmtId="44" fontId="0" fillId="0" borderId="0" xfId="1" applyFont="1" applyAlignment="1">
      <alignment horizontal="center" vertical="center" wrapText="1"/>
    </xf>
    <xf numFmtId="44" fontId="0" fillId="0" borderId="0" xfId="1" applyFont="1"/>
    <xf numFmtId="44" fontId="2" fillId="0" borderId="0" xfId="0" applyNumberFormat="1" applyFont="1"/>
    <xf numFmtId="0" fontId="2" fillId="0" borderId="0" xfId="0" applyFont="1" applyFill="1"/>
    <xf numFmtId="0" fontId="2" fillId="4" borderId="0" xfId="0" applyFont="1" applyFill="1"/>
    <xf numFmtId="0" fontId="2" fillId="5" borderId="0" xfId="0" applyFont="1" applyFill="1"/>
    <xf numFmtId="44" fontId="2" fillId="0" borderId="0" xfId="1" applyFont="1"/>
    <xf numFmtId="0" fontId="2" fillId="6" borderId="0" xfId="0" applyFont="1" applyFill="1"/>
    <xf numFmtId="0" fontId="2" fillId="3" borderId="0" xfId="0" applyFont="1" applyFill="1" applyAlignment="1">
      <alignment vertical="center" wrapText="1"/>
    </xf>
    <xf numFmtId="44" fontId="1" fillId="3" borderId="0" xfId="1" applyFont="1" applyFill="1" applyAlignment="1">
      <alignment horizontal="right" vertical="center" wrapText="1"/>
    </xf>
    <xf numFmtId="44" fontId="0" fillId="3" borderId="0" xfId="0" applyNumberFormat="1" applyFill="1"/>
    <xf numFmtId="10" fontId="0" fillId="3" borderId="0" xfId="0" applyNumberFormat="1" applyFont="1" applyFill="1" applyAlignment="1">
      <alignment horizontal="right" vertical="center" wrapText="1"/>
    </xf>
    <xf numFmtId="10" fontId="0" fillId="3" borderId="0" xfId="0" applyNumberFormat="1" applyFont="1" applyFill="1" applyAlignment="1">
      <alignment horizontal="center" vertical="center" wrapText="1"/>
    </xf>
    <xf numFmtId="10" fontId="0" fillId="3" borderId="0" xfId="0" applyNumberFormat="1" applyFill="1"/>
    <xf numFmtId="0" fontId="0" fillId="3" borderId="0" xfId="0" applyFont="1" applyFill="1" applyAlignment="1">
      <alignment horizontal="right" vertical="center" wrapText="1"/>
    </xf>
    <xf numFmtId="44" fontId="0" fillId="3" borderId="0" xfId="1" applyFont="1" applyFill="1" applyAlignment="1">
      <alignment horizontal="right" vertical="center" wrapText="1"/>
    </xf>
    <xf numFmtId="44" fontId="0" fillId="3" borderId="0" xfId="2" applyNumberFormat="1" applyFont="1" applyFill="1" applyAlignment="1">
      <alignment horizontal="right" vertical="center" wrapText="1"/>
    </xf>
    <xf numFmtId="44" fontId="2" fillId="3" borderId="0" xfId="1" applyFont="1" applyFill="1" applyAlignment="1">
      <alignment horizontal="right" vertical="center" wrapText="1"/>
    </xf>
    <xf numFmtId="0" fontId="2" fillId="0" borderId="0" xfId="0" applyFont="1" applyFill="1" applyAlignment="1">
      <alignment vertical="center" wrapText="1"/>
    </xf>
    <xf numFmtId="44" fontId="1" fillId="0" borderId="0" xfId="1" applyFont="1" applyFill="1" applyAlignment="1">
      <alignment horizontal="righ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9DCAF9-693F-4BE4-84B6-0491910905B9}" name="Table1" displayName="Table1" ref="A1:D7" totalsRowShown="0" headerRowDxfId="28" headerRowBorderDxfId="34" tableBorderDxfId="35" totalsRowBorderDxfId="33">
  <autoFilter ref="A1:D7" xr:uid="{689DCAF9-693F-4BE4-84B6-0491910905B9}"/>
  <tableColumns count="4">
    <tableColumn id="1" xr3:uid="{FD60775E-A532-44CF-BE01-5E6392CA311B}" name="KEY STATISTICS &amp; TRADING CHART" dataDxfId="32"/>
    <tableColumn id="2" xr3:uid="{F66732AC-F690-41C8-A047-3B672DAF81ED}" name="Column1" dataDxfId="31"/>
    <tableColumn id="3" xr3:uid="{943F559F-EDD4-451D-962B-1A730ED97E91}" name="Column2" dataDxfId="30"/>
    <tableColumn id="4" xr3:uid="{AEEF32D3-525B-4D2E-BB5E-3D4D4A14679D}" name="Column3" dataDxfId="2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05A370-C9CA-476A-9F4F-95A8AFD77497}" name="Table2" displayName="Table2" ref="F9:K22" totalsRowShown="0" headerRowDxfId="20" dataDxfId="21">
  <autoFilter ref="F9:K22" xr:uid="{B505A370-C9CA-476A-9F4F-95A8AFD77497}"/>
  <tableColumns count="6">
    <tableColumn id="1" xr3:uid="{2449D2F5-062A-4C1D-AC88-A479340BC971}" name="CONSENSUS ESTIMATES" dataDxfId="27"/>
    <tableColumn id="2" xr3:uid="{1F011038-491C-4F1E-80E5-88B988282AA1}" name="FY2024A" dataDxfId="26"/>
    <tableColumn id="3" xr3:uid="{7EC34084-CB8C-46FF-BF16-24BF6059D053}" name="FY2025A" dataDxfId="25"/>
    <tableColumn id="4" xr3:uid="{2E9DFACE-9EB0-4445-A00C-A4A915D4BE60}" name="FY2026E" dataDxfId="24"/>
    <tableColumn id="5" xr3:uid="{DF483BBB-533D-44F8-9A54-B52E7B9923BD}" name="FY2027E" dataDxfId="23"/>
    <tableColumn id="6" xr3:uid="{8BE7C3C8-49B2-469C-9951-69518925253F}" name="FY2028E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150555-C1EA-425A-BD47-9433E327DC2F}" name="Table4" displayName="Table4" ref="AA94:AB104" totalsRowShown="0">
  <autoFilter ref="AA94:AB104" xr:uid="{30150555-C1EA-425A-BD47-9433E327DC2F}"/>
  <tableColumns count="2">
    <tableColumn id="1" xr3:uid="{8C2004B6-FD59-4A2B-948B-C156FB03B7CC}" name="WACC Calculations"/>
    <tableColumn id="2" xr3:uid="{6C81CEFE-01FE-4C8E-9AEF-186C1DCA16E5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02C48B-A0AF-4E74-9AC5-4E6181DDF2BA}" name="Table5" displayName="Table5" ref="P24:Y39" totalsRowShown="0" headerRowDxfId="12" dataDxfId="13" dataCellStyle="Currency">
  <autoFilter ref="P24:Y39" xr:uid="{5002C48B-A0AF-4E74-9AC5-4E6181DDF2BA}"/>
  <tableColumns count="10">
    <tableColumn id="1" xr3:uid="{5484E492-9990-4CC2-ACA2-D7E9E3C978AC}" name="DCF Valuation Model"/>
    <tableColumn id="2" xr3:uid="{46C9FFD6-3820-497E-A3A0-D23578428984}" name="Column1"/>
    <tableColumn id="3" xr3:uid="{2B99D33F-321C-4EAC-BF9A-DEB377B471A8}" name="Column2"/>
    <tableColumn id="4" xr3:uid="{4EF8099C-8A48-4389-91A1-954335132077}" name="Column3"/>
    <tableColumn id="5" xr3:uid="{F6CA869F-28BB-4C1B-A3F2-6CBAFC2D345C}" name="FY2025A" dataDxfId="19" dataCellStyle="Currency"/>
    <tableColumn id="6" xr3:uid="{CBCE0017-5E20-483C-9D2F-31F57DEDF5BD}" name="FY2026E" dataDxfId="18" dataCellStyle="Currency"/>
    <tableColumn id="7" xr3:uid="{1D53C3CD-BE1B-453B-986F-8D4AF4308C46}" name="FY2027E" dataDxfId="17" dataCellStyle="Currency"/>
    <tableColumn id="8" xr3:uid="{F263583A-68D5-4B5C-B3E6-E8F559073B97}" name="FY2028E" dataDxfId="16" dataCellStyle="Currency"/>
    <tableColumn id="9" xr3:uid="{DB6C9F55-D516-4DF1-B842-B6E76E4BCB88}" name="FY2029E" dataDxfId="15" dataCellStyle="Currency"/>
    <tableColumn id="10" xr3:uid="{4B2D394B-634D-4613-BE53-7EAC511E9AAF}" name="FY2030E" dataDxfId="14" dataCellStyle="Currency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4E1507-3011-4868-9DCB-BC1258424799}" name="Table6" displayName="Table6" ref="P48:Y87" totalsRowShown="0" headerRowDxfId="0" dataDxfId="1" dataCellStyle="Currency">
  <autoFilter ref="P48:Y87" xr:uid="{054E1507-3011-4868-9DCB-BC1258424799}"/>
  <tableColumns count="10">
    <tableColumn id="1" xr3:uid="{35373B15-522A-40F6-897E-F4FD9F353E6C}" name="DCF Valuation Model " dataDxfId="11"/>
    <tableColumn id="2" xr3:uid="{DDDF5A39-4B3F-47C2-AF7F-9DF1C75C4CF2}" name="FY2022A" dataDxfId="10" dataCellStyle="Currency"/>
    <tableColumn id="3" xr3:uid="{9EA276CF-410E-400F-934E-0E1C76793807}" name="FY2023A" dataDxfId="9" dataCellStyle="Currency"/>
    <tableColumn id="4" xr3:uid="{57786572-CC83-452C-919E-352491887EEA}" name="FY2024A" dataDxfId="8" dataCellStyle="Currency"/>
    <tableColumn id="5" xr3:uid="{E20D1482-880D-4E8E-948A-64BDF75578B4}" name="FY2025A" dataDxfId="7" dataCellStyle="Currency"/>
    <tableColumn id="6" xr3:uid="{0727B6B8-CDF7-41AE-B780-1E38DA533283}" name="FY2026E" dataDxfId="6" dataCellStyle="Currency"/>
    <tableColumn id="7" xr3:uid="{A970B768-739D-4D91-8CD0-5EED4B01735B}" name="FY2027E" dataDxfId="5" dataCellStyle="Currency"/>
    <tableColumn id="8" xr3:uid="{63F3CE0E-5CEF-4570-A9D6-5797D8841011}" name="FY2028E" dataDxfId="4" dataCellStyle="Currency"/>
    <tableColumn id="9" xr3:uid="{DC0B011E-F90F-40AC-AEE3-BF664D3DE7A6}" name="FY2029E" dataDxfId="3" dataCellStyle="Currency"/>
    <tableColumn id="10" xr3:uid="{86A1D52F-6E83-44FB-8567-7E2E6EBA8700}" name="FY2030E" dataDxfId="2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C492-0360-4FB6-98FF-12C3D3575AFB}">
  <dimension ref="A1:AI121"/>
  <sheetViews>
    <sheetView tabSelected="1" zoomScale="43" workbookViewId="0">
      <selection activeCell="O17" sqref="O17"/>
    </sheetView>
  </sheetViews>
  <sheetFormatPr defaultRowHeight="14.5" x14ac:dyDescent="0.35"/>
  <cols>
    <col min="1" max="1" width="41.54296875" customWidth="1"/>
    <col min="2" max="2" width="27.26953125" customWidth="1"/>
    <col min="3" max="3" width="37.7265625" bestFit="1" customWidth="1"/>
    <col min="4" max="4" width="15.26953125" bestFit="1" customWidth="1"/>
    <col min="6" max="6" width="32.08984375" bestFit="1" customWidth="1"/>
    <col min="7" max="7" width="9.36328125" customWidth="1"/>
    <col min="8" max="11" width="9.36328125" bestFit="1" customWidth="1"/>
    <col min="13" max="13" width="26.453125" bestFit="1" customWidth="1"/>
    <col min="14" max="14" width="22.26953125" bestFit="1" customWidth="1"/>
    <col min="15" max="15" width="39.6328125" bestFit="1" customWidth="1"/>
    <col min="16" max="16" width="37.453125" customWidth="1"/>
    <col min="17" max="19" width="11.81640625" hidden="1" customWidth="1"/>
    <col min="20" max="21" width="11.81640625" bestFit="1" customWidth="1"/>
    <col min="22" max="22" width="13.36328125" bestFit="1" customWidth="1"/>
    <col min="23" max="25" width="14.6328125" bestFit="1" customWidth="1"/>
    <col min="26" max="26" width="13.08984375" bestFit="1" customWidth="1"/>
    <col min="27" max="27" width="24" bestFit="1" customWidth="1"/>
    <col min="28" max="28" width="13.08984375" bestFit="1" customWidth="1"/>
    <col min="29" max="29" width="16.36328125" bestFit="1" customWidth="1"/>
    <col min="30" max="30" width="11.54296875" bestFit="1" customWidth="1"/>
    <col min="31" max="31" width="14.81640625" bestFit="1" customWidth="1"/>
    <col min="32" max="33" width="15.26953125" bestFit="1" customWidth="1"/>
    <col min="34" max="35" width="14.81640625" bestFit="1" customWidth="1"/>
  </cols>
  <sheetData>
    <row r="1" spans="1:15" ht="32.5" customHeight="1" thickBot="1" x14ac:dyDescent="0.4">
      <c r="A1" s="10" t="s">
        <v>0</v>
      </c>
      <c r="B1" s="20" t="s">
        <v>20</v>
      </c>
      <c r="C1" s="20" t="s">
        <v>21</v>
      </c>
      <c r="D1" s="21" t="s">
        <v>22</v>
      </c>
    </row>
    <row r="2" spans="1:15" ht="15" thickBot="1" x14ac:dyDescent="0.4">
      <c r="A2" s="7" t="s">
        <v>1</v>
      </c>
      <c r="B2" s="5">
        <v>231.74</v>
      </c>
      <c r="C2" s="1" t="s">
        <v>2</v>
      </c>
      <c r="D2" s="8" t="s">
        <v>3</v>
      </c>
    </row>
    <row r="3" spans="1:15" ht="29.5" customHeight="1" thickBot="1" x14ac:dyDescent="0.4">
      <c r="A3" s="7" t="s">
        <v>4</v>
      </c>
      <c r="B3" s="3" t="s">
        <v>5</v>
      </c>
      <c r="C3" s="1" t="s">
        <v>19</v>
      </c>
      <c r="D3" s="8" t="s">
        <v>6</v>
      </c>
    </row>
    <row r="4" spans="1:15" ht="15" thickBot="1" x14ac:dyDescent="0.4">
      <c r="A4" s="7" t="s">
        <v>18</v>
      </c>
      <c r="B4" s="3" t="s">
        <v>7</v>
      </c>
      <c r="C4" s="1" t="s">
        <v>8</v>
      </c>
      <c r="D4" s="8" t="s">
        <v>9</v>
      </c>
    </row>
    <row r="5" spans="1:15" ht="15" thickBot="1" x14ac:dyDescent="0.4">
      <c r="A5" s="7" t="s">
        <v>10</v>
      </c>
      <c r="B5" s="3" t="s">
        <v>11</v>
      </c>
      <c r="C5" s="1" t="s">
        <v>12</v>
      </c>
      <c r="D5" s="9">
        <v>0.99099999999999999</v>
      </c>
    </row>
    <row r="6" spans="1:15" ht="15" thickBot="1" x14ac:dyDescent="0.4">
      <c r="A6" s="7" t="s">
        <v>13</v>
      </c>
      <c r="B6" s="5">
        <v>4101</v>
      </c>
      <c r="C6" s="1" t="s">
        <v>14</v>
      </c>
      <c r="D6" s="9">
        <v>0.20799999999999999</v>
      </c>
    </row>
    <row r="7" spans="1:15" x14ac:dyDescent="0.35">
      <c r="A7" s="11" t="s">
        <v>15</v>
      </c>
      <c r="B7" s="12" t="s">
        <v>16</v>
      </c>
      <c r="C7" s="13" t="s">
        <v>17</v>
      </c>
      <c r="D7" s="14">
        <v>2.2000000000000001E-3</v>
      </c>
      <c r="N7" t="s">
        <v>140</v>
      </c>
    </row>
    <row r="8" spans="1:15" x14ac:dyDescent="0.35">
      <c r="N8" t="s">
        <v>43</v>
      </c>
      <c r="O8" s="4">
        <v>337.74</v>
      </c>
    </row>
    <row r="9" spans="1:15" x14ac:dyDescent="0.35">
      <c r="F9" s="22" t="s">
        <v>41</v>
      </c>
      <c r="G9" s="23" t="s">
        <v>23</v>
      </c>
      <c r="H9" s="23" t="s">
        <v>24</v>
      </c>
      <c r="I9" s="23" t="s">
        <v>25</v>
      </c>
      <c r="J9" s="23" t="s">
        <v>26</v>
      </c>
      <c r="K9" s="23" t="s">
        <v>27</v>
      </c>
      <c r="N9" t="s">
        <v>44</v>
      </c>
      <c r="O9" s="4">
        <v>393.75</v>
      </c>
    </row>
    <row r="10" spans="1:15" x14ac:dyDescent="0.35">
      <c r="F10" s="24" t="s">
        <v>28</v>
      </c>
      <c r="G10" s="25">
        <v>7430</v>
      </c>
      <c r="H10" s="25">
        <v>8252</v>
      </c>
      <c r="I10" s="26">
        <v>10106</v>
      </c>
      <c r="J10" s="26">
        <v>11488</v>
      </c>
      <c r="K10" s="26">
        <v>12821</v>
      </c>
      <c r="N10" t="s">
        <v>45</v>
      </c>
      <c r="O10" s="4">
        <v>240</v>
      </c>
    </row>
    <row r="11" spans="1:15" x14ac:dyDescent="0.35">
      <c r="F11" s="27" t="s">
        <v>29</v>
      </c>
      <c r="G11" s="28" t="s">
        <v>30</v>
      </c>
      <c r="H11" s="29">
        <v>0.111</v>
      </c>
      <c r="I11" s="30">
        <v>0.22500000000000001</v>
      </c>
      <c r="J11" s="30">
        <v>0.13700000000000001</v>
      </c>
      <c r="K11" s="30">
        <v>0.11600000000000001</v>
      </c>
      <c r="N11" t="s">
        <v>46</v>
      </c>
      <c r="O11" s="6">
        <v>0.45739999999999997</v>
      </c>
    </row>
    <row r="12" spans="1:15" x14ac:dyDescent="0.35">
      <c r="F12" s="24" t="s">
        <v>31</v>
      </c>
      <c r="G12" s="25">
        <v>1914</v>
      </c>
      <c r="H12" s="25">
        <v>2416</v>
      </c>
      <c r="I12" s="26">
        <v>3258</v>
      </c>
      <c r="J12" s="26">
        <v>3809</v>
      </c>
      <c r="K12" s="26">
        <v>4378</v>
      </c>
    </row>
    <row r="13" spans="1:15" x14ac:dyDescent="0.35">
      <c r="F13" s="27" t="s">
        <v>32</v>
      </c>
      <c r="G13" s="28" t="s">
        <v>30</v>
      </c>
      <c r="H13" s="29">
        <v>0.26200000000000001</v>
      </c>
      <c r="I13" s="30">
        <v>0.34899999999999998</v>
      </c>
      <c r="J13" s="30">
        <v>0.16900000000000001</v>
      </c>
      <c r="K13" s="30">
        <v>0.14899999999999999</v>
      </c>
    </row>
    <row r="14" spans="1:15" x14ac:dyDescent="0.35">
      <c r="F14" s="24" t="s">
        <v>33</v>
      </c>
      <c r="G14" s="29">
        <v>0.25800000000000001</v>
      </c>
      <c r="H14" s="29">
        <v>0.29299999999999998</v>
      </c>
      <c r="I14" s="30">
        <v>0.32200000000000001</v>
      </c>
      <c r="J14" s="30">
        <v>0.33200000000000002</v>
      </c>
      <c r="K14" s="30">
        <v>0.34100000000000003</v>
      </c>
    </row>
    <row r="15" spans="1:15" x14ac:dyDescent="0.35">
      <c r="F15" s="24" t="s">
        <v>34</v>
      </c>
      <c r="G15" s="25">
        <v>1633</v>
      </c>
      <c r="H15" s="25">
        <v>2133</v>
      </c>
      <c r="I15" s="26">
        <v>2964</v>
      </c>
      <c r="J15" s="26">
        <v>3474</v>
      </c>
      <c r="K15" s="26">
        <v>4033</v>
      </c>
    </row>
    <row r="16" spans="1:15" x14ac:dyDescent="0.35">
      <c r="F16" s="27" t="s">
        <v>35</v>
      </c>
      <c r="G16" s="28" t="s">
        <v>30</v>
      </c>
      <c r="H16" s="29">
        <v>0.30599999999999999</v>
      </c>
      <c r="I16" s="30">
        <v>0.39</v>
      </c>
      <c r="J16" s="30">
        <v>0.17199999999999999</v>
      </c>
      <c r="K16" s="30">
        <v>0.161</v>
      </c>
    </row>
    <row r="17" spans="6:25" x14ac:dyDescent="0.35">
      <c r="F17" s="24" t="s">
        <v>42</v>
      </c>
      <c r="G17" s="28">
        <v>-182</v>
      </c>
      <c r="H17" s="28">
        <v>-151</v>
      </c>
      <c r="I17" s="23">
        <v>-187.8</v>
      </c>
      <c r="J17" s="23">
        <v>-184.8</v>
      </c>
      <c r="K17" s="23">
        <v>-175.2</v>
      </c>
    </row>
    <row r="18" spans="6:25" x14ac:dyDescent="0.35">
      <c r="F18" s="24" t="s">
        <v>36</v>
      </c>
      <c r="G18" s="25">
        <v>1383</v>
      </c>
      <c r="H18" s="25">
        <v>1840</v>
      </c>
      <c r="I18" s="26">
        <v>2763</v>
      </c>
      <c r="J18" s="26">
        <v>3248</v>
      </c>
      <c r="K18" s="26">
        <v>3837</v>
      </c>
    </row>
    <row r="19" spans="6:25" x14ac:dyDescent="0.35">
      <c r="F19" s="24" t="s">
        <v>37</v>
      </c>
      <c r="G19" s="25">
        <v>1155</v>
      </c>
      <c r="H19" s="25">
        <v>1508</v>
      </c>
      <c r="I19" s="26">
        <v>2218</v>
      </c>
      <c r="J19" s="26">
        <v>2572</v>
      </c>
      <c r="K19" s="26">
        <v>3033</v>
      </c>
    </row>
    <row r="20" spans="6:25" x14ac:dyDescent="0.35">
      <c r="F20" s="24" t="s">
        <v>38</v>
      </c>
      <c r="G20" s="25">
        <v>2751</v>
      </c>
      <c r="H20" s="25">
        <v>2308</v>
      </c>
      <c r="I20" s="26">
        <v>3430</v>
      </c>
      <c r="J20" s="26">
        <v>2800</v>
      </c>
      <c r="K20" s="26">
        <v>2111</v>
      </c>
    </row>
    <row r="21" spans="6:25" x14ac:dyDescent="0.35">
      <c r="F21" s="24" t="s">
        <v>39</v>
      </c>
      <c r="G21" s="28">
        <v>321</v>
      </c>
      <c r="H21" s="28">
        <v>453</v>
      </c>
      <c r="I21" s="23">
        <v>517.6</v>
      </c>
      <c r="J21" s="23">
        <v>578.6</v>
      </c>
      <c r="K21" s="23">
        <v>588.6</v>
      </c>
    </row>
    <row r="22" spans="6:25" x14ac:dyDescent="0.35">
      <c r="F22" s="24" t="s">
        <v>40</v>
      </c>
      <c r="G22" s="28">
        <v>977</v>
      </c>
      <c r="H22" s="25">
        <v>1431</v>
      </c>
      <c r="I22" s="26">
        <v>1930</v>
      </c>
      <c r="J22" s="26">
        <v>2305</v>
      </c>
      <c r="K22" s="26">
        <v>2750</v>
      </c>
    </row>
    <row r="24" spans="6:25" x14ac:dyDescent="0.35">
      <c r="G24" s="4"/>
      <c r="M24" s="32" t="s">
        <v>47</v>
      </c>
      <c r="P24" s="15" t="s">
        <v>137</v>
      </c>
      <c r="Q24" t="s">
        <v>20</v>
      </c>
      <c r="R24" t="s">
        <v>21</v>
      </c>
      <c r="S24" t="s">
        <v>22</v>
      </c>
      <c r="T24" s="16" t="s">
        <v>24</v>
      </c>
      <c r="U24" s="16" t="s">
        <v>25</v>
      </c>
      <c r="V24" s="15" t="s">
        <v>26</v>
      </c>
      <c r="W24" s="15" t="s">
        <v>27</v>
      </c>
      <c r="X24" s="15" t="s">
        <v>88</v>
      </c>
      <c r="Y24" s="15" t="s">
        <v>89</v>
      </c>
    </row>
    <row r="25" spans="6:25" x14ac:dyDescent="0.35">
      <c r="G25" s="4"/>
      <c r="M25" s="31">
        <v>398.8</v>
      </c>
      <c r="P25" s="73" t="s">
        <v>139</v>
      </c>
    </row>
    <row r="26" spans="6:25" x14ac:dyDescent="0.35">
      <c r="G26" s="4"/>
      <c r="M26" s="33" t="s">
        <v>48</v>
      </c>
      <c r="P26" t="s">
        <v>134</v>
      </c>
      <c r="T26" s="45">
        <f>T55</f>
        <v>8252</v>
      </c>
      <c r="U26" s="45">
        <f t="shared" ref="U26:Y26" si="0">U55</f>
        <v>10000</v>
      </c>
      <c r="V26" s="45">
        <f t="shared" si="0"/>
        <v>11299.999999999998</v>
      </c>
      <c r="W26" s="45">
        <f t="shared" si="0"/>
        <v>12542.999999999998</v>
      </c>
      <c r="X26" s="45">
        <f t="shared" si="0"/>
        <v>13671.869999999999</v>
      </c>
      <c r="Y26" s="45">
        <f t="shared" si="0"/>
        <v>14765.6196</v>
      </c>
    </row>
    <row r="27" spans="6:25" x14ac:dyDescent="0.35">
      <c r="G27" s="6"/>
      <c r="M27" s="2">
        <v>1.8</v>
      </c>
      <c r="P27" t="s">
        <v>68</v>
      </c>
      <c r="T27" s="67">
        <v>2416</v>
      </c>
      <c r="U27" s="45">
        <v>3250</v>
      </c>
      <c r="V27" s="45">
        <v>3898.4999999999995</v>
      </c>
      <c r="W27" s="45">
        <v>4452.7649999999994</v>
      </c>
      <c r="X27" s="45">
        <v>4853.5138500000003</v>
      </c>
      <c r="Y27" s="45">
        <v>5241.7949580000004</v>
      </c>
    </row>
    <row r="28" spans="6:25" x14ac:dyDescent="0.35">
      <c r="M28" s="33" t="s">
        <v>49</v>
      </c>
      <c r="P28" t="s">
        <v>40</v>
      </c>
      <c r="T28" s="45">
        <v>1431</v>
      </c>
      <c r="U28" s="45">
        <v>2007.4400000000003</v>
      </c>
      <c r="V28" s="45">
        <v>2534.7560000000003</v>
      </c>
      <c r="W28" s="45">
        <v>2940.4317599999999</v>
      </c>
      <c r="X28" s="45">
        <v>3232.1906184000004</v>
      </c>
      <c r="Y28" s="45">
        <v>3505.8174678720011</v>
      </c>
    </row>
    <row r="29" spans="6:25" x14ac:dyDescent="0.35">
      <c r="M29" s="36">
        <v>2.2000000000000002</v>
      </c>
      <c r="P29" t="s">
        <v>105</v>
      </c>
      <c r="T29" s="45"/>
      <c r="U29" s="45"/>
      <c r="V29" s="45"/>
      <c r="W29" s="45"/>
      <c r="X29" s="45"/>
      <c r="Y29" s="68">
        <v>274.90980226735229</v>
      </c>
    </row>
    <row r="30" spans="6:25" x14ac:dyDescent="0.35">
      <c r="M30" s="32" t="s">
        <v>50</v>
      </c>
      <c r="P30" s="70" t="s">
        <v>136</v>
      </c>
      <c r="Y30" s="68"/>
    </row>
    <row r="31" spans="6:25" x14ac:dyDescent="0.35">
      <c r="M31" s="31">
        <v>402.8</v>
      </c>
      <c r="P31" s="69" t="s">
        <v>28</v>
      </c>
      <c r="T31" s="67">
        <v>8252</v>
      </c>
      <c r="U31" s="67">
        <v>10000</v>
      </c>
      <c r="V31" s="67">
        <v>11500</v>
      </c>
      <c r="W31" s="67">
        <v>13000</v>
      </c>
      <c r="X31" s="67">
        <v>14560</v>
      </c>
      <c r="Y31" s="67">
        <v>16161</v>
      </c>
    </row>
    <row r="32" spans="6:25" x14ac:dyDescent="0.35">
      <c r="M32" s="32" t="s">
        <v>51</v>
      </c>
      <c r="P32" t="s">
        <v>68</v>
      </c>
      <c r="T32" s="67">
        <v>2416</v>
      </c>
      <c r="U32" s="67">
        <v>3250</v>
      </c>
      <c r="V32" s="67">
        <v>3967.5</v>
      </c>
      <c r="W32" s="67">
        <v>4615</v>
      </c>
      <c r="X32" s="67">
        <v>5314.4</v>
      </c>
      <c r="Y32" s="67">
        <v>5898.77</v>
      </c>
    </row>
    <row r="33" spans="13:25" x14ac:dyDescent="0.35">
      <c r="M33" s="34">
        <v>93344.87</v>
      </c>
      <c r="P33" t="s">
        <v>40</v>
      </c>
      <c r="T33" s="67">
        <v>1431</v>
      </c>
      <c r="U33" s="67">
        <v>2007.44</v>
      </c>
      <c r="V33" s="67">
        <v>2558.38</v>
      </c>
      <c r="W33" s="67">
        <v>3022.16</v>
      </c>
      <c r="X33" s="67">
        <v>3518.61</v>
      </c>
      <c r="Y33" s="67">
        <v>3921.18</v>
      </c>
    </row>
    <row r="34" spans="13:25" x14ac:dyDescent="0.35">
      <c r="M34" s="33" t="s">
        <v>52</v>
      </c>
      <c r="P34" t="s">
        <v>105</v>
      </c>
      <c r="T34" s="67"/>
      <c r="U34" s="67"/>
      <c r="V34" s="67"/>
      <c r="W34" s="67"/>
      <c r="X34" s="67"/>
      <c r="Y34" s="72">
        <v>323.26</v>
      </c>
    </row>
    <row r="35" spans="13:25" x14ac:dyDescent="0.35">
      <c r="M35" s="2">
        <v>743</v>
      </c>
      <c r="P35" s="71" t="s">
        <v>135</v>
      </c>
      <c r="T35" s="67"/>
      <c r="U35" s="67"/>
      <c r="V35" s="67"/>
      <c r="W35" s="67"/>
      <c r="X35" s="67"/>
      <c r="Y35" s="67"/>
    </row>
    <row r="36" spans="13:25" x14ac:dyDescent="0.35">
      <c r="M36" s="33" t="s">
        <v>53</v>
      </c>
      <c r="P36" s="69" t="s">
        <v>28</v>
      </c>
      <c r="T36" s="67">
        <v>8252</v>
      </c>
      <c r="U36" s="67">
        <v>10000</v>
      </c>
      <c r="V36" s="67">
        <v>11000</v>
      </c>
      <c r="W36" s="67">
        <v>11990</v>
      </c>
      <c r="X36" s="67">
        <v>12949</v>
      </c>
      <c r="Y36" s="67">
        <v>13855</v>
      </c>
    </row>
    <row r="37" spans="13:25" x14ac:dyDescent="0.35">
      <c r="M37" s="35">
        <v>4101</v>
      </c>
      <c r="P37" t="s">
        <v>68</v>
      </c>
      <c r="T37" s="67">
        <v>2416</v>
      </c>
      <c r="U37" s="67">
        <v>3250</v>
      </c>
      <c r="V37" s="67">
        <v>3685</v>
      </c>
      <c r="W37" s="67">
        <v>4016.65</v>
      </c>
      <c r="X37" s="67">
        <v>4402.66</v>
      </c>
      <c r="Y37" s="67">
        <v>4710.7</v>
      </c>
    </row>
    <row r="38" spans="13:25" x14ac:dyDescent="0.35">
      <c r="M38" s="33" t="s">
        <v>54</v>
      </c>
      <c r="P38" t="s">
        <v>40</v>
      </c>
      <c r="T38" s="67">
        <v>1431</v>
      </c>
      <c r="U38" s="67">
        <v>2007.44</v>
      </c>
      <c r="V38" s="67">
        <v>2409.12</v>
      </c>
      <c r="W38" s="67">
        <v>2637.94</v>
      </c>
      <c r="X38" s="67">
        <v>2915.24</v>
      </c>
      <c r="Y38" s="67">
        <v>3133.63</v>
      </c>
    </row>
    <row r="39" spans="13:25" x14ac:dyDescent="0.35">
      <c r="M39" s="2">
        <v>0</v>
      </c>
      <c r="P39" s="15" t="s">
        <v>105</v>
      </c>
      <c r="T39" s="67"/>
      <c r="U39" s="67"/>
      <c r="V39" s="67"/>
      <c r="W39" s="67"/>
      <c r="X39" s="67"/>
      <c r="Y39" s="72">
        <v>221.64</v>
      </c>
    </row>
    <row r="40" spans="13:25" x14ac:dyDescent="0.35">
      <c r="M40" s="33" t="s">
        <v>55</v>
      </c>
      <c r="P40" s="15"/>
      <c r="T40" s="67"/>
      <c r="U40" s="67"/>
      <c r="V40" s="67"/>
      <c r="W40" s="67"/>
      <c r="X40" s="67"/>
      <c r="Y40" s="67"/>
    </row>
    <row r="41" spans="13:25" x14ac:dyDescent="0.35">
      <c r="M41" s="2">
        <v>0</v>
      </c>
    </row>
    <row r="42" spans="13:25" x14ac:dyDescent="0.35">
      <c r="M42" s="33" t="s">
        <v>56</v>
      </c>
    </row>
    <row r="43" spans="13:25" x14ac:dyDescent="0.35">
      <c r="M43" s="2">
        <v>0</v>
      </c>
      <c r="V43">
        <f>V50/V55</f>
        <v>0.53960814159292048</v>
      </c>
      <c r="W43">
        <f t="shared" ref="W43:Y43" si="1">W50/W55</f>
        <v>0.53474680698397525</v>
      </c>
      <c r="X43">
        <f t="shared" si="1"/>
        <v>0.53965274099300253</v>
      </c>
      <c r="Y43">
        <f t="shared" si="1"/>
        <v>0.5496463102706507</v>
      </c>
    </row>
    <row r="44" spans="13:25" x14ac:dyDescent="0.35">
      <c r="M44" s="32" t="s">
        <v>57</v>
      </c>
    </row>
    <row r="45" spans="13:25" x14ac:dyDescent="0.35">
      <c r="M45" s="34">
        <f>SUM(M37,M33)-M35</f>
        <v>96702.87</v>
      </c>
      <c r="W45">
        <f>W51*W50</f>
        <v>1710.3689460000003</v>
      </c>
      <c r="X45">
        <f t="shared" ref="X45:Y45" si="2">X51*X50</f>
        <v>1881.4058406000004</v>
      </c>
      <c r="Y45">
        <f t="shared" si="2"/>
        <v>2069.5464246600004</v>
      </c>
    </row>
    <row r="48" spans="13:25" x14ac:dyDescent="0.35">
      <c r="O48" s="16"/>
      <c r="P48" s="16" t="s">
        <v>138</v>
      </c>
      <c r="Q48" s="16" t="s">
        <v>58</v>
      </c>
      <c r="R48" s="16" t="s">
        <v>59</v>
      </c>
      <c r="S48" s="16" t="s">
        <v>23</v>
      </c>
      <c r="T48" s="16" t="s">
        <v>24</v>
      </c>
      <c r="U48" s="16" t="s">
        <v>25</v>
      </c>
      <c r="V48" s="15" t="s">
        <v>26</v>
      </c>
      <c r="W48" s="15" t="s">
        <v>27</v>
      </c>
      <c r="X48" s="15" t="s">
        <v>88</v>
      </c>
      <c r="Y48" s="15" t="s">
        <v>89</v>
      </c>
    </row>
    <row r="49" spans="15:25" x14ac:dyDescent="0.35">
      <c r="O49" s="19"/>
      <c r="P49" s="19" t="s">
        <v>60</v>
      </c>
      <c r="Q49" s="18"/>
      <c r="R49" s="18"/>
      <c r="S49" s="18"/>
      <c r="T49" s="18"/>
      <c r="U49" s="18"/>
    </row>
    <row r="50" spans="15:25" x14ac:dyDescent="0.35">
      <c r="O50" s="18"/>
      <c r="P50" s="18" t="s">
        <v>61</v>
      </c>
      <c r="Q50" s="40">
        <v>2698</v>
      </c>
      <c r="R50" s="40">
        <v>3266</v>
      </c>
      <c r="S50" s="40">
        <v>3671</v>
      </c>
      <c r="T50" s="40">
        <v>4242</v>
      </c>
      <c r="U50" s="40">
        <f>2626*2.15</f>
        <v>5645.9</v>
      </c>
      <c r="V50" s="45">
        <f>U50*1.08</f>
        <v>6097.5720000000001</v>
      </c>
      <c r="W50" s="45">
        <f>V50*1.1</f>
        <v>6707.329200000001</v>
      </c>
      <c r="X50" s="45">
        <f t="shared" ref="X50:Y50" si="3">W50*1.1</f>
        <v>7378.0621200000014</v>
      </c>
      <c r="Y50" s="45">
        <f t="shared" si="3"/>
        <v>8115.8683320000018</v>
      </c>
    </row>
    <row r="51" spans="15:25" ht="29" x14ac:dyDescent="0.35">
      <c r="O51" s="18"/>
      <c r="P51" s="18" t="s">
        <v>81</v>
      </c>
      <c r="Q51" s="43" t="s">
        <v>30</v>
      </c>
      <c r="R51" s="43" t="s">
        <v>30</v>
      </c>
      <c r="S51" s="43" t="s">
        <v>30</v>
      </c>
      <c r="T51" s="43" t="s">
        <v>30</v>
      </c>
      <c r="U51" s="42">
        <v>0.215</v>
      </c>
      <c r="V51" s="44">
        <f>U51+0.02</f>
        <v>0.23499999999999999</v>
      </c>
      <c r="W51" s="44">
        <f t="shared" ref="W51" si="4">V51+0.02</f>
        <v>0.255</v>
      </c>
      <c r="X51" s="44">
        <f>W51</f>
        <v>0.255</v>
      </c>
      <c r="Y51" s="44">
        <f>X51</f>
        <v>0.255</v>
      </c>
    </row>
    <row r="52" spans="15:25" ht="29" hidden="1" x14ac:dyDescent="0.35">
      <c r="O52" s="18" t="s">
        <v>62</v>
      </c>
      <c r="P52" s="18" t="s">
        <v>62</v>
      </c>
      <c r="Q52" s="40">
        <v>1117</v>
      </c>
      <c r="R52" s="40">
        <v>1349</v>
      </c>
      <c r="S52" s="40">
        <v>1576</v>
      </c>
      <c r="T52" s="40">
        <v>1745</v>
      </c>
      <c r="U52" s="40">
        <f>2*1060</f>
        <v>2120</v>
      </c>
    </row>
    <row r="53" spans="15:25" ht="29" hidden="1" x14ac:dyDescent="0.35">
      <c r="O53" s="18" t="s">
        <v>63</v>
      </c>
      <c r="P53" s="18" t="s">
        <v>63</v>
      </c>
      <c r="Q53" s="40">
        <v>790</v>
      </c>
      <c r="R53" s="40">
        <v>878</v>
      </c>
      <c r="S53" s="40">
        <v>1129</v>
      </c>
      <c r="T53" s="40">
        <v>1226</v>
      </c>
      <c r="U53" s="40">
        <f>2*563</f>
        <v>1126</v>
      </c>
    </row>
    <row r="54" spans="15:25" ht="29" hidden="1" x14ac:dyDescent="0.35">
      <c r="O54" s="18" t="s">
        <v>64</v>
      </c>
      <c r="P54" s="18" t="s">
        <v>64</v>
      </c>
      <c r="Q54" s="40">
        <v>1058</v>
      </c>
      <c r="R54" s="40">
        <v>1147</v>
      </c>
      <c r="S54" s="40">
        <v>1054</v>
      </c>
      <c r="T54" s="40">
        <v>1039</v>
      </c>
      <c r="U54" s="40">
        <f>2*611</f>
        <v>1222</v>
      </c>
    </row>
    <row r="55" spans="15:25" x14ac:dyDescent="0.35">
      <c r="O55" s="19"/>
      <c r="P55" s="74" t="s">
        <v>65</v>
      </c>
      <c r="Q55" s="75">
        <f t="shared" ref="Q55:T55" si="5">SUM(Q50,Q52:Q54)</f>
        <v>5663</v>
      </c>
      <c r="R55" s="75">
        <f t="shared" si="5"/>
        <v>6640</v>
      </c>
      <c r="S55" s="75">
        <f t="shared" si="5"/>
        <v>7430</v>
      </c>
      <c r="T55" s="75">
        <f t="shared" si="5"/>
        <v>8252</v>
      </c>
      <c r="U55" s="75">
        <v>10000</v>
      </c>
      <c r="V55" s="76">
        <f>1.13*U55</f>
        <v>11299.999999999998</v>
      </c>
      <c r="W55" s="76">
        <f>V55*1.11</f>
        <v>12542.999999999998</v>
      </c>
      <c r="X55" s="76">
        <f>W55*(1.09)</f>
        <v>13671.869999999999</v>
      </c>
      <c r="Y55" s="76">
        <f>X55*(1.08)</f>
        <v>14765.6196</v>
      </c>
    </row>
    <row r="56" spans="15:25" x14ac:dyDescent="0.35">
      <c r="O56" s="19"/>
      <c r="P56" s="74" t="s">
        <v>66</v>
      </c>
      <c r="Q56" s="77" t="e">
        <f>(Q55-P55)/P55</f>
        <v>#VALUE!</v>
      </c>
      <c r="R56" s="77">
        <f t="shared" ref="R56:T56" si="6">(R55-Q55)/Q55</f>
        <v>0.17252339749249515</v>
      </c>
      <c r="S56" s="77">
        <f t="shared" si="6"/>
        <v>0.11897590361445783</v>
      </c>
      <c r="T56" s="77">
        <f t="shared" si="6"/>
        <v>0.11063257065948856</v>
      </c>
      <c r="U56" s="78">
        <f>(U55-T55)/T55</f>
        <v>0.21182743577314592</v>
      </c>
      <c r="V56" s="78">
        <f t="shared" ref="V56:Y56" si="7">(V55-U55)/U55</f>
        <v>0.12999999999999981</v>
      </c>
      <c r="W56" s="78">
        <f t="shared" si="7"/>
        <v>0.11000000000000001</v>
      </c>
      <c r="X56" s="78">
        <f t="shared" si="7"/>
        <v>9.000000000000008E-2</v>
      </c>
      <c r="Y56" s="78">
        <f t="shared" si="7"/>
        <v>8.0000000000000085E-2</v>
      </c>
    </row>
    <row r="57" spans="15:25" hidden="1" x14ac:dyDescent="0.35">
      <c r="O57" s="18"/>
      <c r="P57" s="18"/>
      <c r="Q57" s="17"/>
      <c r="R57" s="17"/>
      <c r="S57" s="17"/>
      <c r="T57" s="17"/>
      <c r="U57" s="17"/>
    </row>
    <row r="58" spans="15:25" ht="29" hidden="1" x14ac:dyDescent="0.35">
      <c r="O58" s="19" t="s">
        <v>67</v>
      </c>
      <c r="P58" s="19" t="s">
        <v>67</v>
      </c>
      <c r="Q58" s="17"/>
      <c r="R58" s="17"/>
      <c r="S58" s="17"/>
      <c r="T58" s="17"/>
      <c r="U58" s="17"/>
    </row>
    <row r="59" spans="15:25" ht="29" hidden="1" x14ac:dyDescent="0.35">
      <c r="O59" s="18" t="s">
        <v>61</v>
      </c>
      <c r="P59" s="18" t="s">
        <v>61</v>
      </c>
      <c r="Q59" s="39">
        <v>729</v>
      </c>
      <c r="R59" s="39">
        <v>887</v>
      </c>
      <c r="S59" s="39">
        <v>1129</v>
      </c>
      <c r="T59" s="39">
        <v>1416</v>
      </c>
      <c r="U59" s="39">
        <v>975</v>
      </c>
    </row>
    <row r="60" spans="15:25" ht="29" hidden="1" x14ac:dyDescent="0.35">
      <c r="O60" s="18" t="s">
        <v>62</v>
      </c>
      <c r="P60" s="18" t="s">
        <v>62</v>
      </c>
      <c r="Q60" s="39">
        <v>234</v>
      </c>
      <c r="R60" s="39">
        <v>278</v>
      </c>
      <c r="S60" s="39">
        <v>406</v>
      </c>
      <c r="T60" s="39">
        <v>530</v>
      </c>
      <c r="U60" s="39">
        <v>327</v>
      </c>
    </row>
    <row r="61" spans="15:25" ht="29" hidden="1" x14ac:dyDescent="0.35">
      <c r="O61" s="18" t="s">
        <v>63</v>
      </c>
      <c r="P61" s="18" t="s">
        <v>63</v>
      </c>
      <c r="Q61" s="39">
        <v>111</v>
      </c>
      <c r="R61" s="39">
        <v>113</v>
      </c>
      <c r="S61" s="39">
        <v>187</v>
      </c>
      <c r="T61" s="39">
        <v>265</v>
      </c>
      <c r="U61" s="39">
        <v>130</v>
      </c>
    </row>
    <row r="62" spans="15:25" ht="29" hidden="1" x14ac:dyDescent="0.35">
      <c r="O62" s="18" t="s">
        <v>64</v>
      </c>
      <c r="P62" s="18" t="s">
        <v>64</v>
      </c>
      <c r="Q62" s="39">
        <v>278</v>
      </c>
      <c r="R62" s="39">
        <v>309</v>
      </c>
      <c r="S62" s="39">
        <v>287</v>
      </c>
      <c r="T62" s="39">
        <v>296</v>
      </c>
      <c r="U62" s="39">
        <v>178</v>
      </c>
    </row>
    <row r="63" spans="15:25" ht="29" hidden="1" x14ac:dyDescent="0.35">
      <c r="O63" s="18" t="s">
        <v>87</v>
      </c>
      <c r="P63" s="18" t="s">
        <v>87</v>
      </c>
      <c r="Q63" s="38">
        <v>-76</v>
      </c>
      <c r="R63" s="38">
        <v>-87</v>
      </c>
      <c r="S63" s="39">
        <v>-95</v>
      </c>
      <c r="T63" s="39">
        <v>-91</v>
      </c>
      <c r="U63" s="39">
        <v>-53</v>
      </c>
    </row>
    <row r="64" spans="15:25" x14ac:dyDescent="0.35">
      <c r="O64" s="19"/>
      <c r="P64" s="19" t="s">
        <v>68</v>
      </c>
      <c r="Q64" s="40">
        <f t="shared" ref="Q64:T64" si="8">SUM(Q59:Q63)</f>
        <v>1276</v>
      </c>
      <c r="R64" s="40">
        <f t="shared" si="8"/>
        <v>1500</v>
      </c>
      <c r="S64" s="40">
        <f t="shared" si="8"/>
        <v>1914</v>
      </c>
      <c r="T64" s="40">
        <f t="shared" si="8"/>
        <v>2416</v>
      </c>
      <c r="U64" s="40">
        <f>U66*U55</f>
        <v>3250</v>
      </c>
      <c r="V64" s="49">
        <f>V66*V55</f>
        <v>3898.4999999999995</v>
      </c>
      <c r="W64" s="49">
        <f>W66*W55</f>
        <v>4452.7649999999994</v>
      </c>
      <c r="X64" s="49">
        <f t="shared" ref="X64:Y64" si="9">X66*X55</f>
        <v>4853.5138500000003</v>
      </c>
      <c r="Y64" s="49">
        <f t="shared" si="9"/>
        <v>5241.7949580000004</v>
      </c>
    </row>
    <row r="65" spans="15:29" x14ac:dyDescent="0.35">
      <c r="O65" s="19"/>
      <c r="P65" s="19" t="s">
        <v>66</v>
      </c>
      <c r="Q65" s="42" t="e">
        <f>(Q64-P64)/P64</f>
        <v>#VALUE!</v>
      </c>
      <c r="R65" s="42">
        <f t="shared" ref="R65:T65" si="10">(R64-Q64)/Q64</f>
        <v>0.17554858934169279</v>
      </c>
      <c r="S65" s="42">
        <f t="shared" si="10"/>
        <v>0.27600000000000002</v>
      </c>
      <c r="T65" s="42">
        <f t="shared" si="10"/>
        <v>0.26227795193312436</v>
      </c>
      <c r="U65" s="37">
        <f>(U64-T64)/T64</f>
        <v>0.34519867549668876</v>
      </c>
      <c r="V65" s="37">
        <f t="shared" ref="V65:W65" si="11">(V64-U64)/U64</f>
        <v>0.19953846153846139</v>
      </c>
      <c r="W65" s="37">
        <f t="shared" si="11"/>
        <v>0.14217391304347823</v>
      </c>
      <c r="X65" s="37">
        <f>(X64-W64)/W64</f>
        <v>9.0000000000000205E-2</v>
      </c>
      <c r="Y65" s="37">
        <f t="shared" ref="Y65" si="12">(Y64-X64)/X64</f>
        <v>8.0000000000000029E-2</v>
      </c>
    </row>
    <row r="66" spans="15:29" x14ac:dyDescent="0.35">
      <c r="O66" s="19"/>
      <c r="P66" s="74" t="s">
        <v>69</v>
      </c>
      <c r="Q66" s="77">
        <v>0.22500000000000001</v>
      </c>
      <c r="R66" s="77">
        <v>0.22600000000000001</v>
      </c>
      <c r="S66" s="77">
        <v>0.25800000000000001</v>
      </c>
      <c r="T66" s="77">
        <v>0.29299999999999998</v>
      </c>
      <c r="U66" s="77">
        <v>0.32500000000000001</v>
      </c>
      <c r="V66" s="79">
        <f>U66+0.02</f>
        <v>0.34500000000000003</v>
      </c>
      <c r="W66" s="79">
        <f>V66+0.01</f>
        <v>0.35500000000000004</v>
      </c>
      <c r="X66" s="79">
        <f>W66</f>
        <v>0.35500000000000004</v>
      </c>
      <c r="Y66" s="79">
        <f>X66</f>
        <v>0.35500000000000004</v>
      </c>
    </row>
    <row r="67" spans="15:29" x14ac:dyDescent="0.35">
      <c r="O67" s="15"/>
      <c r="P67" s="15" t="s">
        <v>94</v>
      </c>
      <c r="Q67" s="41"/>
      <c r="R67" s="41"/>
      <c r="S67" s="41"/>
      <c r="T67" s="43" t="s">
        <v>30</v>
      </c>
      <c r="U67" s="39">
        <f>0.12*(U55-T55)</f>
        <v>209.76</v>
      </c>
      <c r="V67" s="39">
        <f>0.12*(V55-U55)</f>
        <v>155.99999999999977</v>
      </c>
      <c r="W67" s="39">
        <f>0.12*(W55-V55)</f>
        <v>149.16</v>
      </c>
      <c r="X67" s="39">
        <f>0.12*(X55-W55)</f>
        <v>135.4644000000001</v>
      </c>
      <c r="Y67" s="39">
        <f>0.12*(Y55-X55)</f>
        <v>131.24995200000012</v>
      </c>
    </row>
    <row r="68" spans="15:29" hidden="1" x14ac:dyDescent="0.35">
      <c r="O68" s="15" t="s">
        <v>90</v>
      </c>
      <c r="P68" s="15" t="s">
        <v>90</v>
      </c>
      <c r="Q68" s="41"/>
      <c r="R68" s="41"/>
      <c r="S68" s="41"/>
      <c r="T68" s="37"/>
      <c r="U68" s="37">
        <v>0.18</v>
      </c>
      <c r="V68" s="37">
        <v>0.18</v>
      </c>
      <c r="W68" s="37">
        <v>0.18</v>
      </c>
      <c r="X68" s="37">
        <v>0.18</v>
      </c>
      <c r="Y68" s="37">
        <v>0.18</v>
      </c>
    </row>
    <row r="69" spans="15:29" hidden="1" x14ac:dyDescent="0.35">
      <c r="O69" s="15" t="s">
        <v>91</v>
      </c>
      <c r="P69" s="15" t="s">
        <v>91</v>
      </c>
      <c r="Q69" s="41"/>
      <c r="R69" s="41"/>
      <c r="S69" s="41"/>
      <c r="T69" s="37"/>
      <c r="U69" s="37">
        <v>2.9000000000000001E-2</v>
      </c>
      <c r="V69" s="37">
        <v>2.9000000000000001E-2</v>
      </c>
      <c r="W69" s="37">
        <v>2.9000000000000001E-2</v>
      </c>
      <c r="X69" s="37">
        <v>2.9000000000000001E-2</v>
      </c>
      <c r="Y69" s="37">
        <v>2.9000000000000001E-2</v>
      </c>
    </row>
    <row r="70" spans="15:29" x14ac:dyDescent="0.35">
      <c r="O70" s="15"/>
      <c r="P70" s="15" t="s">
        <v>92</v>
      </c>
      <c r="Q70" s="41"/>
      <c r="R70" s="41"/>
      <c r="S70" s="41"/>
      <c r="T70" s="43" t="s">
        <v>30</v>
      </c>
      <c r="U70" s="50">
        <f>U81</f>
        <v>500</v>
      </c>
      <c r="V70" s="50">
        <f t="shared" ref="V70:Y70" si="13">V81</f>
        <v>564.99999999999989</v>
      </c>
      <c r="W70" s="50">
        <f t="shared" si="13"/>
        <v>627.15</v>
      </c>
      <c r="X70" s="50">
        <f t="shared" si="13"/>
        <v>683.59349999999995</v>
      </c>
      <c r="Y70" s="50">
        <f t="shared" si="13"/>
        <v>738.28098</v>
      </c>
    </row>
    <row r="71" spans="15:29" x14ac:dyDescent="0.35">
      <c r="O71" s="15"/>
      <c r="P71" s="15" t="s">
        <v>70</v>
      </c>
      <c r="Q71" s="41"/>
      <c r="R71" s="41"/>
      <c r="S71" s="41"/>
      <c r="T71" s="43" t="s">
        <v>30</v>
      </c>
      <c r="U71" s="50">
        <f>U82</f>
        <v>-187.8</v>
      </c>
      <c r="V71" s="50">
        <f t="shared" ref="V71:Y71" si="14">V82</f>
        <v>-184.8</v>
      </c>
      <c r="W71" s="50">
        <f t="shared" si="14"/>
        <v>-175.2</v>
      </c>
      <c r="X71" s="50">
        <f t="shared" si="14"/>
        <v>-175.2</v>
      </c>
      <c r="Y71" s="50">
        <f t="shared" si="14"/>
        <v>-175.2</v>
      </c>
    </row>
    <row r="72" spans="15:29" x14ac:dyDescent="0.35">
      <c r="O72" s="15"/>
      <c r="P72" s="15" t="s">
        <v>93</v>
      </c>
      <c r="Q72" s="41"/>
      <c r="R72" s="41"/>
      <c r="S72" s="41"/>
      <c r="T72" s="43" t="s">
        <v>30</v>
      </c>
      <c r="U72" s="39">
        <f>U69*U55</f>
        <v>290</v>
      </c>
      <c r="V72" s="39">
        <f>V69*V55</f>
        <v>327.7</v>
      </c>
      <c r="W72" s="39">
        <f>W69*W55</f>
        <v>363.74699999999996</v>
      </c>
      <c r="X72" s="39">
        <f t="shared" ref="X72:Y72" si="15">X69*X55</f>
        <v>396.48422999999997</v>
      </c>
      <c r="Y72" s="39">
        <f t="shared" si="15"/>
        <v>428.20296840000003</v>
      </c>
    </row>
    <row r="73" spans="15:29" x14ac:dyDescent="0.35">
      <c r="O73" s="15"/>
      <c r="P73" s="15" t="s">
        <v>34</v>
      </c>
      <c r="Q73" s="41"/>
      <c r="R73" s="41"/>
      <c r="S73" s="41"/>
      <c r="T73" s="66">
        <v>2133</v>
      </c>
      <c r="U73" s="50">
        <f>U64-U72</f>
        <v>2960</v>
      </c>
      <c r="V73" s="50">
        <f>V64-V72</f>
        <v>3570.7999999999997</v>
      </c>
      <c r="W73" s="50">
        <f>W64-W72</f>
        <v>4089.0179999999996</v>
      </c>
      <c r="X73" s="50">
        <f t="shared" ref="X73:Y73" si="16">X64-X72</f>
        <v>4457.0296200000003</v>
      </c>
      <c r="Y73" s="50">
        <f t="shared" si="16"/>
        <v>4813.5919896000005</v>
      </c>
    </row>
    <row r="74" spans="15:29" x14ac:dyDescent="0.35">
      <c r="O74" s="15"/>
      <c r="P74" s="15" t="s">
        <v>106</v>
      </c>
      <c r="Q74" s="41"/>
      <c r="R74" s="41"/>
      <c r="S74" s="41"/>
      <c r="T74" s="43" t="s">
        <v>30</v>
      </c>
      <c r="U74" s="50">
        <f>U73*(1-U68)</f>
        <v>2427.2000000000003</v>
      </c>
      <c r="V74" s="50">
        <f t="shared" ref="V74:W74" si="17">V73*(1-V68)</f>
        <v>2928.056</v>
      </c>
      <c r="W74" s="50">
        <f t="shared" si="17"/>
        <v>3352.99476</v>
      </c>
      <c r="X74" s="50">
        <f t="shared" ref="X74" si="18">X73*(1-X68)</f>
        <v>3654.7642884000006</v>
      </c>
      <c r="Y74" s="50">
        <f t="shared" ref="Y74" si="19">Y73*(1-Y68)</f>
        <v>3947.1454314720008</v>
      </c>
    </row>
    <row r="75" spans="15:29" x14ac:dyDescent="0.35">
      <c r="O75" s="15"/>
      <c r="P75" s="15" t="s">
        <v>37</v>
      </c>
      <c r="Q75" s="61">
        <f t="shared" ref="Q75:Y75" si="20">Q83</f>
        <v>469</v>
      </c>
      <c r="R75" s="61">
        <f t="shared" si="20"/>
        <v>765</v>
      </c>
      <c r="S75" s="61">
        <f t="shared" si="20"/>
        <v>1155</v>
      </c>
      <c r="T75" s="61">
        <f t="shared" si="20"/>
        <v>1508</v>
      </c>
      <c r="U75" s="61">
        <f t="shared" si="20"/>
        <v>2273.2039999999997</v>
      </c>
      <c r="V75" s="61">
        <f t="shared" si="20"/>
        <v>2776.5199999999995</v>
      </c>
      <c r="W75" s="61">
        <f t="shared" si="20"/>
        <v>3209.3307599999998</v>
      </c>
      <c r="X75" s="61">
        <f t="shared" si="20"/>
        <v>3511.1002884</v>
      </c>
      <c r="Y75" s="61">
        <f t="shared" si="20"/>
        <v>3803.4814314720002</v>
      </c>
    </row>
    <row r="76" spans="15:29" x14ac:dyDescent="0.35">
      <c r="O76" s="15"/>
      <c r="P76" s="15" t="s">
        <v>133</v>
      </c>
      <c r="Q76" s="61">
        <f t="shared" ref="Q76:Y76" si="21">Q88</f>
        <v>1.1100000000000001</v>
      </c>
      <c r="R76" s="61">
        <f t="shared" si="21"/>
        <v>1.83</v>
      </c>
      <c r="S76" s="61">
        <f t="shared" si="21"/>
        <v>2.81</v>
      </c>
      <c r="T76" s="61">
        <f t="shared" si="21"/>
        <v>3.71</v>
      </c>
      <c r="U76" s="61">
        <f t="shared" si="21"/>
        <v>2.77</v>
      </c>
      <c r="V76" s="61">
        <f t="shared" si="21"/>
        <v>6.9621865596790355</v>
      </c>
      <c r="W76" s="61">
        <f t="shared" si="21"/>
        <v>8.0474693079237714</v>
      </c>
      <c r="X76" s="61">
        <f t="shared" si="21"/>
        <v>8.804163210631895</v>
      </c>
      <c r="Y76" s="61">
        <f t="shared" si="21"/>
        <v>9.5373155252557673</v>
      </c>
    </row>
    <row r="77" spans="15:29" x14ac:dyDescent="0.35">
      <c r="O77" s="15"/>
      <c r="P77" s="15" t="s">
        <v>71</v>
      </c>
      <c r="Q77" s="61">
        <f t="shared" ref="Q77:Y77" si="22">Q89</f>
        <v>1.4</v>
      </c>
      <c r="R77" s="61">
        <f t="shared" si="22"/>
        <v>1.84</v>
      </c>
      <c r="S77" s="61">
        <f t="shared" si="22"/>
        <v>2.69</v>
      </c>
      <c r="T77" s="61">
        <f t="shared" si="22"/>
        <v>3.77</v>
      </c>
      <c r="U77" s="61">
        <f t="shared" si="22"/>
        <v>2.56</v>
      </c>
      <c r="V77" s="61">
        <f t="shared" si="22"/>
        <v>6.8930486593843083</v>
      </c>
      <c r="W77" s="61">
        <f t="shared" si="22"/>
        <v>7.9675540218470697</v>
      </c>
      <c r="X77" s="61">
        <f t="shared" si="22"/>
        <v>8.7167335858987087</v>
      </c>
      <c r="Y77" s="61">
        <f t="shared" si="22"/>
        <v>9.4426053412909638</v>
      </c>
    </row>
    <row r="78" spans="15:29" x14ac:dyDescent="0.35">
      <c r="O78" s="15"/>
      <c r="P78" s="64" t="s">
        <v>130</v>
      </c>
      <c r="Q78" s="80"/>
      <c r="R78" s="80"/>
      <c r="S78" s="80"/>
      <c r="T78" s="81">
        <v>1431</v>
      </c>
      <c r="U78" s="82">
        <f>U74+U72-U81-U67</f>
        <v>2007.4400000000003</v>
      </c>
      <c r="V78" s="82">
        <f t="shared" ref="V78:Y78" si="23">V74+V72-V81-V67</f>
        <v>2534.7560000000003</v>
      </c>
      <c r="W78" s="82">
        <f t="shared" si="23"/>
        <v>2940.4317599999999</v>
      </c>
      <c r="X78" s="82">
        <f t="shared" si="23"/>
        <v>3232.1906184000004</v>
      </c>
      <c r="Y78" s="82">
        <f t="shared" si="23"/>
        <v>3505.8174678720011</v>
      </c>
    </row>
    <row r="79" spans="15:29" x14ac:dyDescent="0.35">
      <c r="O79" s="15"/>
      <c r="P79" s="15" t="s">
        <v>107</v>
      </c>
      <c r="Q79" s="41"/>
      <c r="R79" s="41"/>
      <c r="S79" s="41"/>
      <c r="T79" s="43" t="s">
        <v>30</v>
      </c>
      <c r="U79" s="55">
        <f>1/(1+AB104/2)</f>
        <v>0.95207476078107489</v>
      </c>
      <c r="V79" s="55">
        <f>1/(1+AB104)^1.5</f>
        <v>0.86598651194737875</v>
      </c>
      <c r="W79" s="55">
        <f>1/(1+AB104)^2.5</f>
        <v>0.78677740581615363</v>
      </c>
      <c r="X79" s="55">
        <f>1/(1+AB104)^3.5</f>
        <v>0.71481331148078064</v>
      </c>
      <c r="Y79" s="55">
        <f>1/(1+AB104)^4.5</f>
        <v>0.6494315501346708</v>
      </c>
      <c r="Z79" t="s">
        <v>104</v>
      </c>
      <c r="AA79" t="s">
        <v>108</v>
      </c>
      <c r="AB79" t="s">
        <v>109</v>
      </c>
      <c r="AC79" t="s">
        <v>105</v>
      </c>
    </row>
    <row r="80" spans="15:29" x14ac:dyDescent="0.35">
      <c r="O80" s="15"/>
      <c r="P80" s="15" t="s">
        <v>131</v>
      </c>
      <c r="Q80" s="41"/>
      <c r="R80" s="41"/>
      <c r="S80" s="41"/>
      <c r="T80" s="43" t="s">
        <v>30</v>
      </c>
      <c r="U80" s="50">
        <f>U79*U78</f>
        <v>1911.2329577823612</v>
      </c>
      <c r="V80" s="50">
        <f t="shared" ref="V80:W80" si="24">V79*V78</f>
        <v>2195.0645070776905</v>
      </c>
      <c r="W80" s="50">
        <f t="shared" si="24"/>
        <v>2313.465272112227</v>
      </c>
      <c r="X80" s="50">
        <f>X79*X78</f>
        <v>2310.4128792756164</v>
      </c>
      <c r="Y80" s="50">
        <f t="shared" ref="Y80" si="25">Y79*Y78</f>
        <v>2276.7884726493203</v>
      </c>
      <c r="Z80" s="45">
        <f>(Y64*30.5)/(1+AB104)^4.5</f>
        <v>103827.70426439228</v>
      </c>
      <c r="AA80" s="45">
        <f>SUM(U80:Z80)</f>
        <v>114834.6683532895</v>
      </c>
      <c r="AB80" s="45">
        <f>AA80-4101</f>
        <v>110733.6683532895</v>
      </c>
      <c r="AC80" s="45">
        <f>AB80/402.8</f>
        <v>274.90980226735229</v>
      </c>
    </row>
    <row r="81" spans="14:28" hidden="1" x14ac:dyDescent="0.35">
      <c r="O81" s="15" t="s">
        <v>92</v>
      </c>
      <c r="P81" s="15" t="s">
        <v>92</v>
      </c>
      <c r="Q81" s="41"/>
      <c r="R81" s="41"/>
      <c r="S81" s="41"/>
      <c r="T81" s="37"/>
      <c r="U81" s="39">
        <f>0.05*U55</f>
        <v>500</v>
      </c>
      <c r="V81" s="39">
        <f t="shared" ref="V81:Y81" si="26">0.05*V55</f>
        <v>564.99999999999989</v>
      </c>
      <c r="W81" s="39">
        <f t="shared" si="26"/>
        <v>627.15</v>
      </c>
      <c r="X81" s="39">
        <f t="shared" si="26"/>
        <v>683.59349999999995</v>
      </c>
      <c r="Y81" s="39">
        <f t="shared" si="26"/>
        <v>738.28098</v>
      </c>
    </row>
    <row r="82" spans="14:28" hidden="1" x14ac:dyDescent="0.35">
      <c r="O82" s="19" t="s">
        <v>70</v>
      </c>
      <c r="P82" s="19" t="s">
        <v>70</v>
      </c>
      <c r="Q82" s="40">
        <v>-229</v>
      </c>
      <c r="R82" s="40">
        <v>-218</v>
      </c>
      <c r="S82" s="40">
        <v>-182</v>
      </c>
      <c r="T82" s="40">
        <v>-151</v>
      </c>
      <c r="U82" s="57">
        <v>-187.8</v>
      </c>
      <c r="V82" s="58">
        <v>-184.8</v>
      </c>
      <c r="W82" s="56">
        <v>-175.2</v>
      </c>
      <c r="X82" s="56">
        <v>-175.2</v>
      </c>
      <c r="Y82" s="56">
        <v>-175.2</v>
      </c>
    </row>
    <row r="83" spans="14:28" hidden="1" x14ac:dyDescent="0.35">
      <c r="O83" s="19" t="s">
        <v>126</v>
      </c>
      <c r="P83" s="19" t="s">
        <v>126</v>
      </c>
      <c r="Q83" s="40">
        <v>469</v>
      </c>
      <c r="R83" s="40">
        <v>765</v>
      </c>
      <c r="S83" s="40">
        <v>1155</v>
      </c>
      <c r="T83" s="40">
        <v>1508</v>
      </c>
      <c r="U83" s="40">
        <f>(U73+U82)*0.82</f>
        <v>2273.2039999999997</v>
      </c>
      <c r="V83" s="40">
        <f>(V73+V82)*0.82</f>
        <v>2776.5199999999995</v>
      </c>
      <c r="W83" s="40">
        <f>(W73+W82)*0.82</f>
        <v>3209.3307599999998</v>
      </c>
      <c r="X83" s="40">
        <f t="shared" ref="X83:Y83" si="27">(X73+X82)*0.82</f>
        <v>3511.1002884</v>
      </c>
      <c r="Y83" s="40">
        <f t="shared" si="27"/>
        <v>3803.4814314720002</v>
      </c>
    </row>
    <row r="84" spans="14:28" x14ac:dyDescent="0.35">
      <c r="O84" s="19"/>
      <c r="P84" s="19" t="s">
        <v>132</v>
      </c>
      <c r="Q84" s="40"/>
      <c r="R84" s="40"/>
      <c r="S84" s="40"/>
      <c r="T84" s="40"/>
      <c r="U84" s="40"/>
      <c r="V84" s="40"/>
      <c r="W84" s="40"/>
      <c r="X84" s="40"/>
      <c r="Y84" s="40">
        <f>Z80</f>
        <v>103827.70426439228</v>
      </c>
    </row>
    <row r="85" spans="14:28" x14ac:dyDescent="0.35">
      <c r="O85" s="19"/>
      <c r="P85" s="84" t="s">
        <v>108</v>
      </c>
      <c r="Q85" s="85"/>
      <c r="R85" s="85"/>
      <c r="S85" s="85"/>
      <c r="T85" s="85"/>
      <c r="U85" s="85"/>
      <c r="V85" s="85"/>
      <c r="W85" s="85"/>
      <c r="X85" s="85"/>
      <c r="Y85" s="85">
        <f>AA80</f>
        <v>114834.6683532895</v>
      </c>
    </row>
    <row r="86" spans="14:28" x14ac:dyDescent="0.35">
      <c r="O86" s="19"/>
      <c r="P86" s="74" t="s">
        <v>109</v>
      </c>
      <c r="Q86" s="75"/>
      <c r="R86" s="75"/>
      <c r="S86" s="75"/>
      <c r="T86" s="75"/>
      <c r="U86" s="75"/>
      <c r="V86" s="75"/>
      <c r="W86" s="75"/>
      <c r="X86" s="75"/>
      <c r="Y86" s="75">
        <f>AB80</f>
        <v>110733.6683532895</v>
      </c>
    </row>
    <row r="87" spans="14:28" x14ac:dyDescent="0.35">
      <c r="O87" s="19"/>
      <c r="P87" s="74" t="s">
        <v>105</v>
      </c>
      <c r="Q87" s="75"/>
      <c r="R87" s="75"/>
      <c r="S87" s="75"/>
      <c r="T87" s="75"/>
      <c r="U87" s="75"/>
      <c r="V87" s="75"/>
      <c r="W87" s="75"/>
      <c r="X87" s="75"/>
      <c r="Y87" s="83">
        <f>AC80</f>
        <v>274.90980226735229</v>
      </c>
    </row>
    <row r="88" spans="14:28" x14ac:dyDescent="0.35">
      <c r="O88" s="19" t="s">
        <v>127</v>
      </c>
      <c r="P88" s="40">
        <v>0.59</v>
      </c>
      <c r="Q88" s="40">
        <v>1.1100000000000001</v>
      </c>
      <c r="R88" s="40">
        <v>1.83</v>
      </c>
      <c r="S88" s="40">
        <v>2.81</v>
      </c>
      <c r="T88" s="40">
        <v>3.71</v>
      </c>
      <c r="U88" s="40">
        <v>2.77</v>
      </c>
      <c r="V88" s="45">
        <f>V83/398.8</f>
        <v>6.9621865596790355</v>
      </c>
      <c r="W88" s="45">
        <f t="shared" ref="W88" si="28">W83/398.8</f>
        <v>8.0474693079237714</v>
      </c>
      <c r="X88" s="45">
        <f>X83/398.8</f>
        <v>8.804163210631895</v>
      </c>
      <c r="Y88" s="45">
        <f t="shared" ref="Y88" si="29">Y83/398.8</f>
        <v>9.5373155252557673</v>
      </c>
    </row>
    <row r="89" spans="14:28" x14ac:dyDescent="0.35">
      <c r="O89" s="19" t="s">
        <v>71</v>
      </c>
      <c r="P89" s="40">
        <v>1.01</v>
      </c>
      <c r="Q89" s="40">
        <v>1.4</v>
      </c>
      <c r="R89" s="40">
        <v>1.84</v>
      </c>
      <c r="S89" s="40">
        <v>2.69</v>
      </c>
      <c r="T89" s="40">
        <v>3.77</v>
      </c>
      <c r="U89" s="40">
        <v>2.56</v>
      </c>
      <c r="V89" s="45">
        <f>V83/402.8</f>
        <v>6.8930486593843083</v>
      </c>
      <c r="W89" s="45">
        <f t="shared" ref="W89:Y89" si="30">W83/402.8</f>
        <v>7.9675540218470697</v>
      </c>
      <c r="X89" s="45">
        <f t="shared" si="30"/>
        <v>8.7167335858987087</v>
      </c>
      <c r="Y89" s="45">
        <f t="shared" si="30"/>
        <v>9.4426053412909638</v>
      </c>
    </row>
    <row r="90" spans="14:28" x14ac:dyDescent="0.35">
      <c r="N90" s="46"/>
      <c r="O90" s="19" t="s">
        <v>72</v>
      </c>
      <c r="P90" s="41" t="s">
        <v>73</v>
      </c>
      <c r="Q90" s="41" t="s">
        <v>74</v>
      </c>
      <c r="R90" s="41" t="s">
        <v>75</v>
      </c>
      <c r="S90" s="41" t="s">
        <v>76</v>
      </c>
      <c r="T90" s="41" t="s">
        <v>77</v>
      </c>
      <c r="U90" s="41" t="s">
        <v>85</v>
      </c>
      <c r="V90" s="51">
        <f>-V73/V82</f>
        <v>19.322510822510822</v>
      </c>
      <c r="W90" s="51">
        <f t="shared" ref="W90:Y90" si="31">-W73/W82</f>
        <v>23.339143835616436</v>
      </c>
      <c r="X90" s="51">
        <f t="shared" si="31"/>
        <v>25.43966678082192</v>
      </c>
      <c r="Y90" s="51">
        <f t="shared" si="31"/>
        <v>27.474840123287677</v>
      </c>
    </row>
    <row r="91" spans="14:28" x14ac:dyDescent="0.35">
      <c r="N91" s="48"/>
      <c r="O91" s="19" t="s">
        <v>78</v>
      </c>
      <c r="P91" s="41" t="s">
        <v>84</v>
      </c>
      <c r="Q91" s="41" t="s">
        <v>83</v>
      </c>
      <c r="R91" s="41" t="s">
        <v>82</v>
      </c>
      <c r="S91" s="41" t="s">
        <v>79</v>
      </c>
      <c r="T91" s="41" t="s">
        <v>80</v>
      </c>
      <c r="U91" s="41" t="s">
        <v>86</v>
      </c>
      <c r="V91" s="51">
        <f>4101/V64</f>
        <v>1.0519430550211621</v>
      </c>
      <c r="W91" s="51">
        <f>4101/W64</f>
        <v>0.92100077143078529</v>
      </c>
      <c r="X91" s="51">
        <f t="shared" ref="X91:Y91" si="32">4101/X64</f>
        <v>0.8449548361750322</v>
      </c>
      <c r="Y91" s="51">
        <f t="shared" si="32"/>
        <v>0.78236558905095577</v>
      </c>
    </row>
    <row r="92" spans="14:28" x14ac:dyDescent="0.35">
      <c r="N92" s="47"/>
      <c r="O92" s="19"/>
      <c r="P92" s="41"/>
      <c r="Q92" s="41"/>
      <c r="R92" s="41"/>
      <c r="S92" s="41"/>
      <c r="T92" s="41"/>
      <c r="U92" s="41"/>
      <c r="V92" s="51"/>
      <c r="W92" s="51"/>
      <c r="X92" s="51"/>
      <c r="Y92" s="51"/>
    </row>
    <row r="93" spans="14:28" x14ac:dyDescent="0.35">
      <c r="N93" s="47"/>
    </row>
    <row r="94" spans="14:28" x14ac:dyDescent="0.35">
      <c r="N94" s="48"/>
      <c r="O94" s="59" t="s">
        <v>110</v>
      </c>
      <c r="AA94" s="15" t="s">
        <v>129</v>
      </c>
      <c r="AB94" s="62" t="s">
        <v>20</v>
      </c>
    </row>
    <row r="95" spans="14:28" x14ac:dyDescent="0.35">
      <c r="O95" s="59" t="s">
        <v>111</v>
      </c>
      <c r="P95" t="s">
        <v>119</v>
      </c>
      <c r="AA95" s="15" t="s">
        <v>95</v>
      </c>
      <c r="AB95" s="52">
        <f>AB96+(AB98*AB97)</f>
        <v>0.10355</v>
      </c>
    </row>
    <row r="96" spans="14:28" x14ac:dyDescent="0.35">
      <c r="O96" s="59" t="s">
        <v>112</v>
      </c>
      <c r="P96" t="s">
        <v>118</v>
      </c>
      <c r="AA96" t="s">
        <v>96</v>
      </c>
      <c r="AB96">
        <v>0.05</v>
      </c>
    </row>
    <row r="97" spans="15:35" x14ac:dyDescent="0.35">
      <c r="O97" s="59" t="s">
        <v>93</v>
      </c>
      <c r="P97" t="s">
        <v>117</v>
      </c>
      <c r="AA97" s="63" t="s">
        <v>128</v>
      </c>
      <c r="AB97" s="63">
        <v>1.19</v>
      </c>
    </row>
    <row r="98" spans="15:35" x14ac:dyDescent="0.35">
      <c r="O98" s="59" t="s">
        <v>113</v>
      </c>
      <c r="P98" t="s">
        <v>116</v>
      </c>
      <c r="AA98" t="s">
        <v>97</v>
      </c>
      <c r="AB98">
        <v>4.4999999999999998E-2</v>
      </c>
    </row>
    <row r="99" spans="15:35" x14ac:dyDescent="0.35">
      <c r="O99" s="59" t="s">
        <v>114</v>
      </c>
      <c r="P99" t="s">
        <v>115</v>
      </c>
      <c r="AA99" s="15" t="s">
        <v>98</v>
      </c>
      <c r="AB99" s="6">
        <f>0.043*(1-0.18)</f>
        <v>3.526E-2</v>
      </c>
    </row>
    <row r="100" spans="15:35" x14ac:dyDescent="0.35">
      <c r="O100" s="59" t="s">
        <v>120</v>
      </c>
      <c r="P100" t="s">
        <v>121</v>
      </c>
      <c r="AA100" t="s">
        <v>99</v>
      </c>
      <c r="AB100">
        <v>93.3</v>
      </c>
    </row>
    <row r="101" spans="15:35" x14ac:dyDescent="0.35">
      <c r="O101" s="59" t="s">
        <v>122</v>
      </c>
      <c r="P101" s="60" t="s">
        <v>125</v>
      </c>
      <c r="AA101" s="63" t="s">
        <v>100</v>
      </c>
      <c r="AB101" s="63">
        <v>4.0999999999999996</v>
      </c>
    </row>
    <row r="102" spans="15:35" x14ac:dyDescent="0.35">
      <c r="O102" s="59" t="s">
        <v>123</v>
      </c>
      <c r="P102" t="s">
        <v>124</v>
      </c>
      <c r="AA102" t="s">
        <v>101</v>
      </c>
      <c r="AB102">
        <f>AB100/(AB100+AB101)</f>
        <v>0.95790554414784401</v>
      </c>
    </row>
    <row r="103" spans="15:35" x14ac:dyDescent="0.35">
      <c r="AA103" s="63" t="s">
        <v>102</v>
      </c>
      <c r="AB103" s="63">
        <f>AB101/(AB100+AB101)</f>
        <v>4.2094455852156057E-2</v>
      </c>
    </row>
    <row r="104" spans="15:35" x14ac:dyDescent="0.35">
      <c r="AA104" s="64" t="s">
        <v>103</v>
      </c>
      <c r="AB104" s="65">
        <f>AB102*AB95+AB103*AB99</f>
        <v>0.10067536960985628</v>
      </c>
    </row>
    <row r="106" spans="15:35" ht="15" thickBot="1" x14ac:dyDescent="0.4"/>
    <row r="107" spans="15:35" ht="15" thickBot="1" x14ac:dyDescent="0.4">
      <c r="AD107" s="1"/>
      <c r="AE107" s="1"/>
      <c r="AF107" s="1"/>
      <c r="AG107" s="1"/>
      <c r="AH107" s="1"/>
      <c r="AI107" s="1"/>
    </row>
    <row r="108" spans="15:35" ht="15" thickBot="1" x14ac:dyDescent="0.4">
      <c r="AD108" s="1"/>
      <c r="AE108" s="5"/>
      <c r="AF108" s="5"/>
      <c r="AG108" s="5"/>
      <c r="AH108" s="5"/>
      <c r="AI108" s="5"/>
    </row>
    <row r="109" spans="15:35" ht="15" thickBot="1" x14ac:dyDescent="0.4">
      <c r="AD109" s="1"/>
      <c r="AE109" s="5"/>
      <c r="AF109" s="5"/>
      <c r="AG109" s="5"/>
      <c r="AH109" s="5"/>
      <c r="AI109" s="5"/>
    </row>
    <row r="110" spans="15:35" ht="15" thickBot="1" x14ac:dyDescent="0.4">
      <c r="AD110" s="1"/>
      <c r="AE110" s="5"/>
      <c r="AF110" s="5"/>
      <c r="AG110" s="5"/>
      <c r="AH110" s="5"/>
      <c r="AI110" s="5"/>
    </row>
    <row r="111" spans="15:35" ht="15" thickBot="1" x14ac:dyDescent="0.4">
      <c r="AD111" s="1"/>
      <c r="AE111" s="5"/>
      <c r="AF111" s="5"/>
      <c r="AG111" s="5"/>
      <c r="AH111" s="5"/>
      <c r="AI111" s="5"/>
    </row>
    <row r="112" spans="15:35" ht="15" thickBot="1" x14ac:dyDescent="0.4">
      <c r="AD112" s="1"/>
      <c r="AE112" s="5"/>
      <c r="AF112" s="5"/>
      <c r="AG112" s="5"/>
      <c r="AH112" s="5"/>
      <c r="AI112" s="5"/>
    </row>
    <row r="113" spans="30:35" ht="15" thickBot="1" x14ac:dyDescent="0.4">
      <c r="AD113" s="1"/>
      <c r="AE113" s="5"/>
      <c r="AF113" s="5"/>
      <c r="AG113" s="5"/>
      <c r="AH113" s="5"/>
      <c r="AI113" s="5"/>
    </row>
    <row r="114" spans="30:35" ht="15" thickBot="1" x14ac:dyDescent="0.4">
      <c r="AD114" s="1"/>
      <c r="AE114" s="5"/>
      <c r="AF114" s="5"/>
      <c r="AG114" s="5"/>
      <c r="AH114" s="5"/>
      <c r="AI114" s="5"/>
    </row>
    <row r="115" spans="30:35" ht="15" thickBot="1" x14ac:dyDescent="0.4">
      <c r="AD115" s="1"/>
      <c r="AE115" s="53"/>
      <c r="AF115" s="53"/>
      <c r="AG115" s="53"/>
      <c r="AH115" s="53"/>
      <c r="AI115" s="53"/>
    </row>
    <row r="116" spans="30:35" ht="15" thickBot="1" x14ac:dyDescent="0.4">
      <c r="AD116" s="1"/>
      <c r="AE116" s="3"/>
      <c r="AF116" s="3"/>
      <c r="AG116" s="3"/>
      <c r="AH116" s="3"/>
      <c r="AI116" s="3"/>
    </row>
    <row r="117" spans="30:35" ht="15" thickBot="1" x14ac:dyDescent="0.4">
      <c r="AD117" s="1"/>
      <c r="AE117" s="53"/>
      <c r="AF117" s="53"/>
      <c r="AG117" s="53"/>
      <c r="AH117" s="53"/>
      <c r="AI117" s="53"/>
    </row>
    <row r="118" spans="30:35" x14ac:dyDescent="0.35">
      <c r="AD118" s="54"/>
      <c r="AE118" s="4"/>
    </row>
    <row r="119" spans="30:35" x14ac:dyDescent="0.35">
      <c r="AD119" s="54"/>
      <c r="AE119" s="4"/>
    </row>
    <row r="120" spans="30:35" x14ac:dyDescent="0.35">
      <c r="AD120" s="54"/>
      <c r="AE120" s="4"/>
    </row>
    <row r="121" spans="30:35" x14ac:dyDescent="0.35">
      <c r="AD121" s="54"/>
      <c r="AE121" s="4"/>
    </row>
  </sheetData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CB4B6FA5EAF940AF3B49730FB2FC02" ma:contentTypeVersion="4" ma:contentTypeDescription="Create a new document." ma:contentTypeScope="" ma:versionID="78bbf7fe5721404bd0cb4cc7fb031cdd">
  <xsd:schema xmlns:xsd="http://www.w3.org/2001/XMLSchema" xmlns:xs="http://www.w3.org/2001/XMLSchema" xmlns:p="http://schemas.microsoft.com/office/2006/metadata/properties" xmlns:ns3="3df2245c-e12d-4d48-8d10-c9077672581f" targetNamespace="http://schemas.microsoft.com/office/2006/metadata/properties" ma:root="true" ma:fieldsID="37ca15997b84bb0ad7b8487535ccb8b7" ns3:_="">
    <xsd:import namespace="3df2245c-e12d-4d48-8d10-c9077672581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f2245c-e12d-4d48-8d10-c9077672581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935A0E-762E-4386-813D-CC45F2F098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f2245c-e12d-4d48-8d10-c907767258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2D241E-921F-4448-B70A-696E55CD98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699518-08D2-42E9-817A-6A44CFDB8101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http://purl.org/dc/terms/"/>
    <ds:schemaRef ds:uri="3df2245c-e12d-4d48-8d10-c9077672581f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Kimball, Travis</dc:creator>
  <cp:lastModifiedBy>Kimball, Travis</cp:lastModifiedBy>
  <cp:lastPrinted>2026-09-28T16:57:13Z</cp:lastPrinted>
  <dcterms:created xsi:type="dcterms:W3CDTF">2026-09-25T19:42:34Z</dcterms:created>
  <dcterms:modified xsi:type="dcterms:W3CDTF">2026-09-28T16:57:29Z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0x01010008CB4B6FA5EAF940AF3B49730FB2FC02</vt:lpwstr>
  </property>
</Properties>
</file>